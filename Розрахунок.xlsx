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Акт" sheetId="1" r:id="rId4"/>
  </sheets>
  <definedNames>
    <definedName name="Owner_Worker">'Акт'!$E$4</definedName>
    <definedName name="DateFrom">'Акт'!$E$5</definedName>
    <definedName name="Owner">'Акт'!$D$3</definedName>
    <definedName name="DateTo">'Акт'!$H$5</definedName>
    <definedName name="Firm">#REF!</definedName>
  </definedNames>
  <calcPr/>
  <extLst>
    <ext uri="GoogleSheetsCustomDataVersion2">
      <go:sheetsCustomData xmlns:go="http://customooxmlschemas.google.com/" r:id="rId5" roundtripDataChecksum="TKO7VNZDa8qrXZSBcg+w2aLF3NcCly8cIXtw36B30jc="/>
    </ext>
  </extLst>
</workbook>
</file>

<file path=xl/sharedStrings.xml><?xml version="1.0" encoding="utf-8"?>
<sst xmlns="http://schemas.openxmlformats.org/spreadsheetml/2006/main" count="441" uniqueCount="75">
  <si>
    <t>Розрахунок заборгованості за послуги з управління багатоквартирним будинком, 3% річних та інфляційних витрат по квартирі № ____ буд. № _____</t>
  </si>
  <si>
    <t xml:space="preserve">        Загальна площа, м2 (квартира)		 67,08</t>
  </si>
  <si>
    <t>власник квартири</t>
  </si>
  <si>
    <t>ПІБ ______(буд. № ____, кв. _____ о/р: ___________ )</t>
  </si>
  <si>
    <t xml:space="preserve">за період </t>
  </si>
  <si>
    <t>з</t>
  </si>
  <si>
    <t>по</t>
  </si>
  <si>
    <t>Місяць</t>
  </si>
  <si>
    <t>Сплочено</t>
  </si>
  <si>
    <t>Нараховано</t>
  </si>
  <si>
    <t>Загальна площа</t>
  </si>
  <si>
    <t>Членський внесок</t>
  </si>
  <si>
    <t>Нараховано РРФ</t>
  </si>
  <si>
    <t>3 % річних</t>
  </si>
  <si>
    <t>Сума боргу</t>
  </si>
  <si>
    <t>Кален-дарних днів</t>
  </si>
  <si>
    <t>Індекс інфляції</t>
  </si>
  <si>
    <t>Коеф.</t>
  </si>
  <si>
    <t>Інфляційні втрати</t>
  </si>
  <si>
    <t>Рік</t>
  </si>
  <si>
    <t>грн</t>
  </si>
  <si>
    <t>кв.м.</t>
  </si>
  <si>
    <t>грн за 1кв.м</t>
  </si>
  <si>
    <t xml:space="preserve">грн </t>
  </si>
  <si>
    <t>%</t>
  </si>
  <si>
    <t>Заборгованість на 01.11.2021</t>
  </si>
  <si>
    <t xml:space="preserve">Січень </t>
  </si>
  <si>
    <t>2009</t>
  </si>
  <si>
    <t xml:space="preserve">Лютий </t>
  </si>
  <si>
    <t xml:space="preserve">Березень </t>
  </si>
  <si>
    <t xml:space="preserve">Квітень </t>
  </si>
  <si>
    <t xml:space="preserve">Травень </t>
  </si>
  <si>
    <t xml:space="preserve">Червень </t>
  </si>
  <si>
    <t xml:space="preserve">Липень </t>
  </si>
  <si>
    <t xml:space="preserve">Серпень </t>
  </si>
  <si>
    <t xml:space="preserve">Вересень </t>
  </si>
  <si>
    <t xml:space="preserve">Жовтень </t>
  </si>
  <si>
    <t xml:space="preserve">Листопад </t>
  </si>
  <si>
    <t xml:space="preserve">Грудень </t>
  </si>
  <si>
    <t>2010</t>
  </si>
  <si>
    <t>2011</t>
  </si>
  <si>
    <t>Травень</t>
  </si>
  <si>
    <t>2012</t>
  </si>
  <si>
    <t>2013</t>
  </si>
  <si>
    <t>Серпень</t>
  </si>
  <si>
    <t>Грудень</t>
  </si>
  <si>
    <t>2014</t>
  </si>
  <si>
    <t>2015</t>
  </si>
  <si>
    <t>2016</t>
  </si>
  <si>
    <t>2017</t>
  </si>
  <si>
    <t>Березень</t>
  </si>
  <si>
    <t>2018</t>
  </si>
  <si>
    <t>Вересень</t>
  </si>
  <si>
    <t>Жовтень</t>
  </si>
  <si>
    <t>2019</t>
  </si>
  <si>
    <t>Лютий</t>
  </si>
  <si>
    <t>Квітень</t>
  </si>
  <si>
    <t>Черевень</t>
  </si>
  <si>
    <t>Липень</t>
  </si>
  <si>
    <t>5,25</t>
  </si>
  <si>
    <t>2022</t>
  </si>
  <si>
    <t>2023</t>
  </si>
  <si>
    <t>2024</t>
  </si>
  <si>
    <t>6,25</t>
  </si>
  <si>
    <t>2025</t>
  </si>
  <si>
    <t>Всього</t>
  </si>
  <si>
    <t xml:space="preserve">Заборгованість станом на 01.07.2025 року </t>
  </si>
  <si>
    <t xml:space="preserve">в т.ч.   </t>
  </si>
  <si>
    <t>внесок</t>
  </si>
  <si>
    <t>3% річних</t>
  </si>
  <si>
    <t>Інфляційні витрати</t>
  </si>
  <si>
    <t>Юридичні послуги</t>
  </si>
  <si>
    <t>Держмито</t>
  </si>
  <si>
    <t>Голова правління</t>
  </si>
  <si>
    <t>___________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</si>
</sst>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\.mm\.yyyy"/>
  </numFmts>
  <fonts count="17">
    <font>
      <sz val="10.0"/>
      <color rgb="FF000000"/>
      <name val="Calibri"/>
      <scheme val="minor"/>
    </font>
    <font>
      <sz val="10.0"/>
      <color theme="1"/>
      <name val="Arimo"/>
    </font>
    <font>
      <b/>
      <sz val="12.0"/>
      <color theme="1"/>
      <name val="Arimo"/>
    </font>
    <font>
      <b/>
      <u/>
      <sz val="12.0"/>
      <color theme="1"/>
      <name val="Arimo"/>
    </font>
    <font>
      <b/>
      <sz val="8.0"/>
      <color theme="1"/>
      <name val="Arimo"/>
    </font>
    <font>
      <sz val="8.0"/>
      <color theme="1"/>
      <name val="Tahoma"/>
    </font>
    <font>
      <sz val="10.0"/>
      <color rgb="FF000000"/>
      <name val="Calibri"/>
    </font>
    <font>
      <sz val="10.0"/>
      <color theme="1"/>
      <name val="Calibri"/>
    </font>
    <font>
      <b/>
      <sz val="8.0"/>
      <color theme="1"/>
      <name val="Tahoma"/>
    </font>
    <font>
      <b/>
      <sz val="8.0"/>
      <color theme="1"/>
      <name val="Arial"/>
    </font>
    <font>
      <b/>
      <sz val="8.0"/>
      <color rgb="FF000000"/>
      <name val="Tahoma"/>
    </font>
    <font>
      <b/>
      <sz val="10.0"/>
      <color theme="1"/>
      <name val="Times New Roman"/>
    </font>
    <font/>
    <font>
      <b/>
      <sz val="10.0"/>
      <color theme="1"/>
      <name val="Arimo"/>
    </font>
    <font>
      <sz val="10.0"/>
      <color theme="1"/>
      <name val="Times New Roman"/>
    </font>
    <font>
      <sz val="10.0"/>
      <color rgb="FF000000"/>
      <name val="Times New Roman"/>
    </font>
    <font>
      <sz val="10.0"/>
      <color rgb="FF000000"/>
      <name val="Arimo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19">
    <border/>
    <border>
      <top style="thin">
        <color rgb="FF000000"/>
      </top>
      <bottom style="thin">
        <color rgb="FF000000"/>
      </bottom>
    </border>
    <border>
      <left/>
      <right/>
      <top/>
      <bottom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/>
    </border>
    <border>
      <left style="hair">
        <color rgb="FF000000"/>
      </left>
      <right style="hair">
        <color rgb="FF000000"/>
      </right>
      <top/>
      <bottom style="hair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</border>
    <border>
      <right style="hair">
        <color rgb="FF000000"/>
      </right>
      <bottom style="hair">
        <color rgb="FF000000"/>
      </bottom>
    </border>
    <border>
      <left style="hair">
        <color rgb="FF000000"/>
      </left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hair">
        <color rgb="FF000000"/>
      </top>
    </border>
    <border>
      <left/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9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right"/>
    </xf>
    <xf borderId="0" fillId="0" fontId="1" numFmtId="4" xfId="0" applyFont="1" applyNumberFormat="1"/>
    <xf borderId="0" fillId="0" fontId="3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left" vertical="center"/>
    </xf>
    <xf borderId="0" fillId="0" fontId="5" numFmtId="0" xfId="0" applyFont="1"/>
    <xf borderId="0" fillId="0" fontId="6" numFmtId="0" xfId="0" applyAlignment="1" applyFont="1">
      <alignment horizontal="center"/>
    </xf>
    <xf borderId="0" fillId="0" fontId="5" numFmtId="0" xfId="0" applyAlignment="1" applyFont="1">
      <alignment readingOrder="0"/>
    </xf>
    <xf borderId="0" fillId="0" fontId="5" numFmtId="0" xfId="0" applyAlignment="1" applyFont="1">
      <alignment horizontal="center"/>
    </xf>
    <xf borderId="1" fillId="0" fontId="5" numFmtId="0" xfId="0" applyAlignment="1" applyBorder="1" applyFont="1">
      <alignment readingOrder="0"/>
    </xf>
    <xf borderId="1" fillId="0" fontId="7" numFmtId="0" xfId="0" applyBorder="1" applyFont="1"/>
    <xf borderId="1" fillId="0" fontId="5" numFmtId="0" xfId="0" applyAlignment="1" applyBorder="1" applyFont="1">
      <alignment horizontal="center"/>
    </xf>
    <xf borderId="2" fillId="2" fontId="8" numFmtId="164" xfId="0" applyBorder="1" applyFill="1" applyFont="1" applyNumberFormat="1"/>
    <xf borderId="0" fillId="0" fontId="8" numFmtId="164" xfId="0" applyAlignment="1" applyFont="1" applyNumberFormat="1">
      <alignment horizontal="left"/>
    </xf>
    <xf borderId="0" fillId="0" fontId="1" numFmtId="0" xfId="0" applyFont="1"/>
    <xf borderId="0" fillId="0" fontId="8" numFmtId="164" xfId="0" applyFont="1" applyNumberFormat="1"/>
    <xf borderId="3" fillId="0" fontId="8" numFmtId="0" xfId="0" applyAlignment="1" applyBorder="1" applyFont="1">
      <alignment horizontal="center" vertical="center"/>
    </xf>
    <xf borderId="3" fillId="0" fontId="8" numFmtId="0" xfId="0" applyAlignment="1" applyBorder="1" applyFont="1">
      <alignment horizontal="center" shrinkToFit="0" vertical="center" wrapText="1"/>
    </xf>
    <xf borderId="3" fillId="0" fontId="9" numFmtId="0" xfId="0" applyAlignment="1" applyBorder="1" applyFont="1">
      <alignment horizontal="center" shrinkToFit="0" vertical="center" wrapText="1"/>
    </xf>
    <xf borderId="3" fillId="0" fontId="8" numFmtId="0" xfId="0" applyAlignment="1" applyBorder="1" applyFont="1">
      <alignment horizontal="center" shrinkToFit="0" wrapText="1"/>
    </xf>
    <xf borderId="3" fillId="3" fontId="8" numFmtId="0" xfId="0" applyAlignment="1" applyBorder="1" applyFill="1" applyFont="1">
      <alignment horizontal="center" shrinkToFit="0" vertical="center" wrapText="1"/>
    </xf>
    <xf borderId="3" fillId="0" fontId="8" numFmtId="4" xfId="0" applyAlignment="1" applyBorder="1" applyFont="1" applyNumberFormat="1">
      <alignment horizontal="center" shrinkToFit="0" vertical="center" wrapText="1"/>
    </xf>
    <xf borderId="3" fillId="0" fontId="8" numFmtId="2" xfId="0" applyAlignment="1" applyBorder="1" applyFont="1" applyNumberFormat="1">
      <alignment horizontal="center" vertical="center"/>
    </xf>
    <xf borderId="4" fillId="0" fontId="8" numFmtId="2" xfId="0" applyAlignment="1" applyBorder="1" applyFont="1" applyNumberFormat="1">
      <alignment horizontal="center"/>
    </xf>
    <xf borderId="3" fillId="0" fontId="8" numFmtId="0" xfId="0" applyAlignment="1" applyBorder="1" applyFont="1">
      <alignment vertical="center"/>
    </xf>
    <xf borderId="3" fillId="0" fontId="8" numFmtId="4" xfId="0" applyAlignment="1" applyBorder="1" applyFont="1" applyNumberFormat="1">
      <alignment vertical="center"/>
    </xf>
    <xf borderId="3" fillId="3" fontId="8" numFmtId="49" xfId="0" applyAlignment="1" applyBorder="1" applyFill="1" applyFont="1" applyNumberFormat="1">
      <alignment shrinkToFit="0" vertical="center" wrapText="1"/>
    </xf>
    <xf borderId="5" fillId="3" fontId="8" numFmtId="49" xfId="0" applyAlignment="1" applyBorder="1" applyFill="1" applyFont="1" applyNumberFormat="1">
      <alignment horizontal="center" shrinkToFit="0" vertical="center" wrapText="1"/>
    </xf>
    <xf borderId="3" fillId="3" fontId="8" numFmtId="2" xfId="0" applyAlignment="1" applyBorder="1" applyFill="1" applyFont="1" applyNumberFormat="1">
      <alignment shrinkToFit="1" vertical="center" wrapText="0"/>
    </xf>
    <xf borderId="3" fillId="3" fontId="8" numFmtId="2" xfId="0" applyAlignment="1" applyBorder="1" applyFill="1" applyFont="1" applyNumberFormat="1">
      <alignment vertical="center"/>
    </xf>
    <xf borderId="3" fillId="3" fontId="8" numFmtId="0" xfId="0" applyAlignment="1" applyBorder="1" applyFill="1" applyFont="1">
      <alignment vertical="center"/>
    </xf>
    <xf borderId="6" fillId="3" fontId="7" numFmtId="0" xfId="0" applyBorder="1" applyFill="1" applyFont="1"/>
    <xf borderId="3" fillId="3" fontId="8" numFmtId="1" xfId="0" applyAlignment="1" applyBorder="1" applyFill="1" applyFont="1" applyNumberFormat="1">
      <alignment vertical="center"/>
    </xf>
    <xf borderId="3" fillId="3" fontId="8" numFmtId="4" xfId="0" applyAlignment="1" applyBorder="1" applyFill="1" applyFont="1" applyNumberFormat="1">
      <alignment vertical="center"/>
    </xf>
    <xf borderId="7" fillId="0" fontId="8" numFmtId="49" xfId="0" applyBorder="1" applyFont="1" applyNumberFormat="1"/>
    <xf borderId="2" fillId="2" fontId="10" numFmtId="49" xfId="0" applyAlignment="1" applyBorder="1" applyFill="1" applyFont="1" applyNumberFormat="1">
      <alignment horizontal="center"/>
    </xf>
    <xf borderId="8" fillId="0" fontId="8" numFmtId="2" xfId="0" applyAlignment="1" applyBorder="1" applyFont="1" applyNumberFormat="1">
      <alignment shrinkToFit="1" vertical="center" wrapText="0"/>
    </xf>
    <xf borderId="3" fillId="0" fontId="8" numFmtId="2" xfId="0" applyAlignment="1" applyBorder="1" applyFont="1" applyNumberFormat="1">
      <alignment vertical="center"/>
    </xf>
    <xf borderId="3" fillId="0" fontId="8" numFmtId="2" xfId="0" applyAlignment="1" applyBorder="1" applyFont="1" applyNumberFormat="1">
      <alignment horizontal="right"/>
    </xf>
    <xf borderId="4" fillId="0" fontId="8" numFmtId="2" xfId="0" applyAlignment="1" applyBorder="1" applyFont="1" applyNumberFormat="1">
      <alignment horizontal="right"/>
    </xf>
    <xf borderId="4" fillId="0" fontId="8" numFmtId="1" xfId="0" applyAlignment="1" applyBorder="1" applyFont="1" applyNumberFormat="1">
      <alignment horizontal="right"/>
    </xf>
    <xf borderId="3" fillId="0" fontId="8" numFmtId="0" xfId="0" applyAlignment="1" applyBorder="1" applyFont="1">
      <alignment horizontal="right"/>
    </xf>
    <xf borderId="9" fillId="0" fontId="8" numFmtId="4" xfId="0" applyAlignment="1" applyBorder="1" applyFont="1" applyNumberFormat="1">
      <alignment horizontal="right"/>
    </xf>
    <xf borderId="10" fillId="0" fontId="8" numFmtId="49" xfId="0" applyBorder="1" applyFont="1" applyNumberFormat="1"/>
    <xf borderId="4" fillId="0" fontId="8" numFmtId="0" xfId="0" applyAlignment="1" applyBorder="1" applyFont="1">
      <alignment horizontal="right"/>
    </xf>
    <xf borderId="4" fillId="0" fontId="8" numFmtId="49" xfId="0" applyBorder="1" applyFont="1" applyNumberFormat="1"/>
    <xf borderId="4" fillId="0" fontId="8" numFmtId="49" xfId="0" applyAlignment="1" applyBorder="1" applyFont="1" applyNumberFormat="1">
      <alignment horizontal="center" shrinkToFit="1" vertical="center" wrapText="0"/>
    </xf>
    <xf borderId="11" fillId="0" fontId="8" numFmtId="2" xfId="0" applyAlignment="1" applyBorder="1" applyFont="1" applyNumberFormat="1">
      <alignment shrinkToFit="1" vertical="center" wrapText="0"/>
    </xf>
    <xf borderId="3" fillId="0" fontId="8" numFmtId="49" xfId="0" applyAlignment="1" applyBorder="1" applyFont="1" applyNumberFormat="1">
      <alignment horizontal="center" shrinkToFit="1" vertical="center" wrapText="0"/>
    </xf>
    <xf borderId="3" fillId="0" fontId="8" numFmtId="49" xfId="0" applyAlignment="1" applyBorder="1" applyFont="1" applyNumberFormat="1">
      <alignment shrinkToFit="1" vertical="center" wrapText="0"/>
    </xf>
    <xf borderId="0" fillId="0" fontId="7" numFmtId="0" xfId="0" applyFont="1"/>
    <xf borderId="9" fillId="0" fontId="8" numFmtId="0" xfId="0" applyAlignment="1" applyBorder="1" applyFont="1">
      <alignment horizontal="right"/>
    </xf>
    <xf borderId="12" fillId="0" fontId="10" numFmtId="49" xfId="0" applyAlignment="1" applyBorder="1" applyFont="1" applyNumberFormat="1">
      <alignment horizontal="right" vertical="center"/>
    </xf>
    <xf borderId="4" fillId="0" fontId="5" numFmtId="1" xfId="0" applyAlignment="1" applyBorder="1" applyFont="1" applyNumberFormat="1">
      <alignment horizontal="right"/>
    </xf>
    <xf borderId="3" fillId="0" fontId="8" numFmtId="49" xfId="0" applyBorder="1" applyFont="1" applyNumberFormat="1"/>
    <xf borderId="0" fillId="0" fontId="5" numFmtId="1" xfId="0" applyAlignment="1" applyFont="1" applyNumberFormat="1">
      <alignment horizontal="right"/>
    </xf>
    <xf borderId="11" fillId="0" fontId="8" numFmtId="49" xfId="0" applyAlignment="1" applyBorder="1" applyFont="1" applyNumberFormat="1">
      <alignment horizontal="center" shrinkToFit="1" vertical="center" wrapText="0"/>
    </xf>
    <xf borderId="13" fillId="0" fontId="8" numFmtId="2" xfId="0" applyAlignment="1" applyBorder="1" applyFont="1" applyNumberFormat="1">
      <alignment horizontal="right"/>
    </xf>
    <xf borderId="13" fillId="0" fontId="5" numFmtId="1" xfId="0" applyAlignment="1" applyBorder="1" applyFont="1" applyNumberFormat="1">
      <alignment horizontal="right"/>
    </xf>
    <xf borderId="11" fillId="0" fontId="8" numFmtId="49" xfId="0" applyAlignment="1" applyBorder="1" applyFont="1" applyNumberFormat="1">
      <alignment shrinkToFit="1" vertical="center" wrapText="0"/>
    </xf>
    <xf borderId="11" fillId="0" fontId="8" numFmtId="2" xfId="0" applyAlignment="1" applyBorder="1" applyFont="1" applyNumberFormat="1">
      <alignment vertical="center"/>
    </xf>
    <xf borderId="0" fillId="0" fontId="6" numFmtId="0" xfId="0" applyFont="1"/>
    <xf borderId="5" fillId="3" fontId="8" numFmtId="0" xfId="0" applyAlignment="1" applyBorder="1" applyFill="1" applyFont="1">
      <alignment vertical="center"/>
    </xf>
    <xf borderId="5" fillId="3" fontId="8" numFmtId="0" xfId="0" applyAlignment="1" applyBorder="1" applyFill="1" applyFont="1">
      <alignment horizontal="center" vertical="center"/>
    </xf>
    <xf borderId="5" fillId="3" fontId="8" numFmtId="2" xfId="0" applyAlignment="1" applyBorder="1" applyFill="1" applyFont="1" applyNumberFormat="1">
      <alignment vertical="center"/>
    </xf>
    <xf borderId="14" fillId="0" fontId="11" numFmtId="0" xfId="0" applyAlignment="1" applyBorder="1" applyFont="1">
      <alignment shrinkToFit="0" wrapText="1"/>
    </xf>
    <xf borderId="1" fillId="0" fontId="12" numFmtId="0" xfId="0" applyBorder="1" applyFont="1"/>
    <xf borderId="15" fillId="0" fontId="12" numFmtId="0" xfId="0" applyBorder="1" applyFont="1"/>
    <xf borderId="16" fillId="0" fontId="11" numFmtId="2" xfId="0" applyAlignment="1" applyBorder="1" applyFont="1" applyNumberFormat="1">
      <alignment horizontal="right"/>
    </xf>
    <xf borderId="16" fillId="0" fontId="13" numFmtId="0" xfId="0" applyBorder="1" applyFont="1"/>
    <xf borderId="16" fillId="0" fontId="1" numFmtId="0" xfId="0" applyBorder="1" applyFont="1"/>
    <xf borderId="16" fillId="0" fontId="1" numFmtId="4" xfId="0" applyBorder="1" applyFont="1" applyNumberFormat="1"/>
    <xf borderId="0" fillId="0" fontId="14" numFmtId="0" xfId="0" applyAlignment="1" applyFont="1">
      <alignment shrinkToFit="0" wrapText="1"/>
    </xf>
    <xf borderId="0" fillId="0" fontId="14" numFmtId="0" xfId="0" applyAlignment="1" applyFont="1">
      <alignment horizontal="center" shrinkToFit="0" wrapText="1"/>
    </xf>
    <xf borderId="2" fillId="2" fontId="15" numFmtId="0" xfId="0" applyBorder="1" applyFill="1" applyFont="1"/>
    <xf borderId="0" fillId="0" fontId="14" numFmtId="2" xfId="0" applyAlignment="1" applyFont="1" applyNumberFormat="1">
      <alignment horizontal="right"/>
    </xf>
    <xf borderId="17" fillId="2" fontId="15" numFmtId="0" xfId="0" applyBorder="1" applyFill="1" applyFont="1"/>
    <xf borderId="18" fillId="0" fontId="12" numFmtId="0" xfId="0" applyBorder="1" applyFont="1"/>
    <xf borderId="0" fillId="0" fontId="14" numFmtId="2" xfId="0" applyAlignment="1" applyFont="1" applyNumberFormat="1">
      <alignment shrinkToFit="0" wrapText="1"/>
    </xf>
    <xf borderId="0" fillId="0" fontId="1" numFmtId="49" xfId="0" applyFont="1" applyNumberFormat="1"/>
    <xf borderId="0" fillId="0" fontId="1" numFmtId="2" xfId="0" applyAlignment="1" applyFont="1" applyNumberFormat="1">
      <alignment horizontal="center"/>
    </xf>
    <xf borderId="0" fillId="0" fontId="16" numFmtId="2" xfId="0" applyFont="1" applyNumberFormat="1"/>
    <xf borderId="0" fillId="0" fontId="16" numFmtId="4" xfId="0" applyFont="1" applyNumberFormat="1"/>
    <xf borderId="0" fillId="0" fontId="1" numFmtId="2" xfId="0" applyFont="1" applyNumberFormat="1"/>
    <xf borderId="0" fillId="0" fontId="13" numFmtId="0" xfId="0" applyFont="1"/>
    <xf borderId="0" fillId="0" fontId="13" numFmtId="49" xfId="0" applyFont="1" applyNumberFormat="1"/>
    <xf borderId="0" fillId="0" fontId="13" numFmtId="4" xfId="0" applyAlignment="1" applyFont="1" applyNumberFormat="1">
      <alignment readingOrder="0"/>
    </xf>
    <xf borderId="0" fillId="0" fontId="13" numFmtId="0" xfId="0" applyAlignment="1" applyFont="1">
      <alignment horizontal="center"/>
    </xf>
    <xf borderId="0" fillId="0" fontId="13" numFmtId="4" xfId="0" applyFont="1" applyNumberFormat="1"/>
    <xf borderId="0" fillId="0" fontId="7" numFmtId="4" xfId="0" applyFont="1" applyNumberFormat="1"/>
  </cellXfs>
  <cellStyles count="1">
    <cellStyle xfId="0" name="Normal" builtinId="0"/>
  </cellStyles>
  <dxfs count="2">
    <dxf>
      <font>
        <sz val="10.0"/>
        <name val="Arimo"/>
      </font>
      <fill>
        <patternFill patternType="none"/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57"/>
    <col customWidth="1" min="2" max="2" width="12.71"/>
    <col customWidth="1" min="3" max="3" width="9.14"/>
    <col customWidth="1" min="4" max="4" width="11.29"/>
    <col customWidth="1" min="5" max="5" width="9.86"/>
    <col customWidth="1" min="6" max="6" width="12.0"/>
    <col customWidth="1" hidden="1" min="7" max="7" width="0.29"/>
    <col customWidth="1" min="8" max="8" width="7.29"/>
    <col customWidth="1" min="9" max="9" width="9.71"/>
    <col customWidth="1" min="10" max="10" width="7.43"/>
    <col customWidth="1" min="11" max="11" width="8.43"/>
    <col customWidth="1" min="12" max="12" width="6.43"/>
    <col customWidth="1" min="13" max="13" width="10.57"/>
    <col customWidth="1" hidden="1" min="14" max="14" width="8.71"/>
    <col customWidth="1" min="15" max="34" width="8.71"/>
  </cols>
  <sheetData>
    <row r="1" ht="12.75" customHeight="1">
      <c r="B1" s="1"/>
      <c r="D1" s="2"/>
      <c r="E1" s="2"/>
      <c r="F1" s="2"/>
      <c r="G1" s="2"/>
      <c r="L1" s="3"/>
    </row>
    <row r="2" ht="31.5" customHeight="1">
      <c r="A2" s="4" t="s">
        <v>0</v>
      </c>
    </row>
    <row r="3" ht="12.75" customHeight="1">
      <c r="A3" s="5"/>
      <c r="E3" s="6"/>
      <c r="F3" s="6"/>
      <c r="G3" s="6"/>
      <c r="I3" s="7" t="s">
        <v>1</v>
      </c>
    </row>
    <row r="4" ht="12.75" customHeight="1">
      <c r="A4" s="8" t="s">
        <v>2</v>
      </c>
      <c r="B4" s="9"/>
      <c r="C4" s="10" t="s">
        <v>3</v>
      </c>
      <c r="D4" s="11"/>
      <c r="E4" s="11"/>
      <c r="F4" s="12"/>
      <c r="G4" s="9"/>
      <c r="L4" s="3"/>
    </row>
    <row r="5" ht="12.75" customHeight="1">
      <c r="A5" s="6" t="s">
        <v>4</v>
      </c>
      <c r="B5" s="9"/>
      <c r="C5" s="6" t="s">
        <v>5</v>
      </c>
      <c r="D5" s="13">
        <v>44501.0</v>
      </c>
      <c r="E5" s="9" t="s">
        <v>6</v>
      </c>
      <c r="F5" s="14">
        <v>45838.0</v>
      </c>
      <c r="G5" s="14"/>
      <c r="L5" s="3"/>
    </row>
    <row r="6" ht="12.75" customHeight="1">
      <c r="A6" s="6"/>
      <c r="B6" s="9"/>
      <c r="C6" s="6"/>
      <c r="D6" s="15"/>
      <c r="E6" s="15"/>
      <c r="F6" s="16"/>
      <c r="G6" s="16"/>
      <c r="L6" s="3"/>
    </row>
    <row r="7" ht="37.5" customHeight="1">
      <c r="A7" s="17" t="s">
        <v>7</v>
      </c>
      <c r="B7" s="17"/>
      <c r="C7" s="17" t="s">
        <v>8</v>
      </c>
      <c r="D7" s="17" t="s">
        <v>9</v>
      </c>
      <c r="E7" s="18" t="s">
        <v>10</v>
      </c>
      <c r="F7" s="19" t="s">
        <v>11</v>
      </c>
      <c r="G7" s="20" t="s">
        <v>12</v>
      </c>
      <c r="H7" s="21" t="s">
        <v>13</v>
      </c>
      <c r="I7" s="18" t="s">
        <v>14</v>
      </c>
      <c r="J7" s="18" t="s">
        <v>15</v>
      </c>
      <c r="K7" s="18" t="s">
        <v>16</v>
      </c>
      <c r="L7" s="22" t="s">
        <v>17</v>
      </c>
      <c r="M7" s="21" t="s">
        <v>18</v>
      </c>
    </row>
    <row r="8" ht="12.75" customHeight="1">
      <c r="A8" s="17" t="s">
        <v>19</v>
      </c>
      <c r="B8" s="17"/>
      <c r="C8" s="23" t="s">
        <v>20</v>
      </c>
      <c r="D8" s="23" t="s">
        <v>20</v>
      </c>
      <c r="E8" s="23" t="s">
        <v>21</v>
      </c>
      <c r="F8" s="23" t="s">
        <v>22</v>
      </c>
      <c r="G8" s="24" t="s">
        <v>23</v>
      </c>
      <c r="H8" s="23" t="s">
        <v>23</v>
      </c>
      <c r="I8" s="23"/>
      <c r="J8" s="23"/>
      <c r="K8" s="25" t="s">
        <v>24</v>
      </c>
      <c r="L8" s="26"/>
      <c r="M8" s="25" t="s">
        <v>20</v>
      </c>
    </row>
    <row r="9" ht="12.75" customHeight="1">
      <c r="A9" s="27" t="s">
        <v>25</v>
      </c>
      <c r="B9" s="28"/>
      <c r="C9" s="29"/>
      <c r="D9" s="30">
        <v>352.17</v>
      </c>
      <c r="E9" s="30"/>
      <c r="F9" s="31"/>
      <c r="G9" s="32"/>
      <c r="H9" s="31"/>
      <c r="I9" s="30">
        <v>352.17</v>
      </c>
      <c r="J9" s="33"/>
      <c r="K9" s="31"/>
      <c r="L9" s="34"/>
      <c r="M9" s="31"/>
    </row>
    <row r="10" ht="10.5" hidden="1" customHeight="1">
      <c r="A10" s="35" t="s">
        <v>26</v>
      </c>
      <c r="B10" s="36" t="s">
        <v>27</v>
      </c>
      <c r="C10" s="37"/>
      <c r="D10" s="38"/>
      <c r="E10" s="38"/>
      <c r="F10" s="39"/>
      <c r="G10" s="40"/>
      <c r="H10" s="38"/>
      <c r="I10" s="25"/>
      <c r="J10" s="41"/>
      <c r="K10" s="42"/>
      <c r="L10" s="43"/>
      <c r="M10" s="25"/>
    </row>
    <row r="11" ht="10.5" hidden="1" customHeight="1">
      <c r="A11" s="44" t="s">
        <v>28</v>
      </c>
      <c r="B11" s="36" t="s">
        <v>27</v>
      </c>
      <c r="C11" s="37"/>
      <c r="D11" s="38"/>
      <c r="E11" s="38"/>
      <c r="F11" s="40"/>
      <c r="G11" s="40"/>
      <c r="H11" s="38"/>
      <c r="I11" s="25"/>
      <c r="J11" s="41"/>
      <c r="K11" s="45"/>
      <c r="L11" s="43"/>
      <c r="M11" s="25"/>
    </row>
    <row r="12" ht="10.5" hidden="1" customHeight="1">
      <c r="A12" s="44" t="s">
        <v>29</v>
      </c>
      <c r="B12" s="36" t="s">
        <v>27</v>
      </c>
      <c r="C12" s="37"/>
      <c r="D12" s="38"/>
      <c r="E12" s="38"/>
      <c r="F12" s="40"/>
      <c r="G12" s="40"/>
      <c r="H12" s="38"/>
      <c r="I12" s="25"/>
      <c r="J12" s="41"/>
      <c r="K12" s="42"/>
      <c r="L12" s="43"/>
      <c r="M12" s="25"/>
    </row>
    <row r="13" ht="10.5" hidden="1" customHeight="1">
      <c r="A13" s="44" t="s">
        <v>30</v>
      </c>
      <c r="B13" s="36" t="s">
        <v>27</v>
      </c>
      <c r="C13" s="37"/>
      <c r="D13" s="38"/>
      <c r="E13" s="38"/>
      <c r="F13" s="40"/>
      <c r="G13" s="40"/>
      <c r="H13" s="38"/>
      <c r="I13" s="25"/>
      <c r="J13" s="41"/>
      <c r="K13" s="42"/>
      <c r="L13" s="43"/>
      <c r="M13" s="25"/>
    </row>
    <row r="14" ht="10.5" hidden="1" customHeight="1">
      <c r="A14" s="44" t="s">
        <v>31</v>
      </c>
      <c r="B14" s="36" t="s">
        <v>27</v>
      </c>
      <c r="C14" s="37"/>
      <c r="D14" s="38"/>
      <c r="E14" s="38"/>
      <c r="F14" s="40"/>
      <c r="G14" s="40"/>
      <c r="H14" s="38"/>
      <c r="I14" s="25"/>
      <c r="J14" s="41"/>
      <c r="K14" s="42"/>
      <c r="L14" s="43"/>
      <c r="M14" s="25"/>
    </row>
    <row r="15" ht="10.5" hidden="1" customHeight="1">
      <c r="A15" s="44" t="s">
        <v>32</v>
      </c>
      <c r="B15" s="36" t="s">
        <v>27</v>
      </c>
      <c r="C15" s="37"/>
      <c r="D15" s="38"/>
      <c r="E15" s="38"/>
      <c r="F15" s="40"/>
      <c r="G15" s="40"/>
      <c r="H15" s="38"/>
      <c r="I15" s="25"/>
      <c r="J15" s="41"/>
      <c r="K15" s="42"/>
      <c r="L15" s="43"/>
      <c r="M15" s="25"/>
    </row>
    <row r="16" ht="10.5" hidden="1" customHeight="1">
      <c r="A16" s="44" t="s">
        <v>33</v>
      </c>
      <c r="B16" s="36" t="s">
        <v>27</v>
      </c>
      <c r="C16" s="37"/>
      <c r="D16" s="38"/>
      <c r="E16" s="38"/>
      <c r="F16" s="40"/>
      <c r="G16" s="40"/>
      <c r="H16" s="38"/>
      <c r="I16" s="25"/>
      <c r="J16" s="41"/>
      <c r="K16" s="42"/>
      <c r="L16" s="43"/>
      <c r="M16" s="25"/>
    </row>
    <row r="17" ht="10.5" hidden="1" customHeight="1">
      <c r="A17" s="44" t="s">
        <v>34</v>
      </c>
      <c r="B17" s="36" t="s">
        <v>27</v>
      </c>
      <c r="C17" s="37"/>
      <c r="D17" s="38"/>
      <c r="E17" s="38"/>
      <c r="F17" s="40"/>
      <c r="G17" s="40"/>
      <c r="H17" s="38"/>
      <c r="I17" s="25"/>
      <c r="J17" s="41"/>
      <c r="K17" s="42"/>
      <c r="L17" s="43"/>
      <c r="M17" s="25"/>
    </row>
    <row r="18" ht="10.5" hidden="1" customHeight="1">
      <c r="A18" s="44" t="s">
        <v>35</v>
      </c>
      <c r="B18" s="36" t="s">
        <v>27</v>
      </c>
      <c r="C18" s="37"/>
      <c r="D18" s="38"/>
      <c r="E18" s="38"/>
      <c r="F18" s="40"/>
      <c r="G18" s="40"/>
      <c r="H18" s="38"/>
      <c r="I18" s="25"/>
      <c r="J18" s="41"/>
      <c r="K18" s="42"/>
      <c r="L18" s="43"/>
      <c r="M18" s="25"/>
    </row>
    <row r="19" ht="10.5" hidden="1" customHeight="1">
      <c r="A19" s="44" t="s">
        <v>36</v>
      </c>
      <c r="B19" s="36" t="s">
        <v>27</v>
      </c>
      <c r="C19" s="37"/>
      <c r="D19" s="38"/>
      <c r="E19" s="38"/>
      <c r="F19" s="40"/>
      <c r="G19" s="40"/>
      <c r="H19" s="38"/>
      <c r="I19" s="25"/>
      <c r="J19" s="41"/>
      <c r="K19" s="42"/>
      <c r="L19" s="43"/>
      <c r="M19" s="25"/>
    </row>
    <row r="20" ht="10.5" hidden="1" customHeight="1">
      <c r="A20" s="44" t="s">
        <v>37</v>
      </c>
      <c r="B20" s="36" t="s">
        <v>27</v>
      </c>
      <c r="C20" s="37"/>
      <c r="D20" s="38"/>
      <c r="E20" s="38"/>
      <c r="F20" s="40"/>
      <c r="G20" s="40"/>
      <c r="H20" s="38"/>
      <c r="I20" s="25"/>
      <c r="J20" s="41"/>
      <c r="K20" s="42"/>
      <c r="L20" s="43"/>
      <c r="M20" s="25"/>
    </row>
    <row r="21" ht="10.5" hidden="1" customHeight="1">
      <c r="A21" s="44" t="s">
        <v>38</v>
      </c>
      <c r="B21" s="36" t="s">
        <v>27</v>
      </c>
      <c r="C21" s="37"/>
      <c r="D21" s="38"/>
      <c r="E21" s="38"/>
      <c r="F21" s="40"/>
      <c r="G21" s="40"/>
      <c r="H21" s="38"/>
      <c r="I21" s="25"/>
      <c r="J21" s="41"/>
      <c r="K21" s="42"/>
      <c r="L21" s="43"/>
      <c r="M21" s="25"/>
    </row>
    <row r="22" ht="10.5" hidden="1" customHeight="1">
      <c r="A22" s="46" t="s">
        <v>26</v>
      </c>
      <c r="B22" s="47" t="s">
        <v>39</v>
      </c>
      <c r="C22" s="48"/>
      <c r="D22" s="38"/>
      <c r="E22" s="38"/>
      <c r="F22" s="40"/>
      <c r="G22" s="40"/>
      <c r="H22" s="38"/>
      <c r="I22" s="25"/>
      <c r="J22" s="41"/>
      <c r="K22" s="42"/>
      <c r="L22" s="43"/>
      <c r="M22" s="25"/>
    </row>
    <row r="23" ht="10.5" hidden="1" customHeight="1">
      <c r="A23" s="46" t="s">
        <v>28</v>
      </c>
      <c r="B23" s="47" t="s">
        <v>39</v>
      </c>
      <c r="C23" s="48"/>
      <c r="D23" s="38"/>
      <c r="E23" s="38"/>
      <c r="F23" s="40"/>
      <c r="G23" s="40"/>
      <c r="H23" s="38"/>
      <c r="I23" s="25"/>
      <c r="J23" s="41"/>
      <c r="K23" s="42"/>
      <c r="L23" s="43"/>
      <c r="M23" s="25"/>
    </row>
    <row r="24" ht="10.5" hidden="1" customHeight="1">
      <c r="A24" s="46" t="s">
        <v>29</v>
      </c>
      <c r="B24" s="47" t="s">
        <v>39</v>
      </c>
      <c r="C24" s="48"/>
      <c r="D24" s="38"/>
      <c r="E24" s="38"/>
      <c r="F24" s="40"/>
      <c r="G24" s="40"/>
      <c r="H24" s="38"/>
      <c r="I24" s="25"/>
      <c r="J24" s="41"/>
      <c r="K24" s="42"/>
      <c r="L24" s="43"/>
      <c r="M24" s="25"/>
    </row>
    <row r="25" ht="10.5" hidden="1" customHeight="1">
      <c r="A25" s="46" t="s">
        <v>30</v>
      </c>
      <c r="B25" s="47" t="s">
        <v>39</v>
      </c>
      <c r="C25" s="48"/>
      <c r="D25" s="38"/>
      <c r="E25" s="38"/>
      <c r="F25" s="40"/>
      <c r="G25" s="40"/>
      <c r="H25" s="38"/>
      <c r="I25" s="25"/>
      <c r="J25" s="41"/>
      <c r="K25" s="42"/>
      <c r="L25" s="43"/>
      <c r="M25" s="25"/>
    </row>
    <row r="26" ht="10.5" hidden="1" customHeight="1">
      <c r="A26" s="46" t="s">
        <v>31</v>
      </c>
      <c r="B26" s="47" t="s">
        <v>39</v>
      </c>
      <c r="C26" s="48"/>
      <c r="D26" s="38"/>
      <c r="E26" s="38"/>
      <c r="F26" s="40"/>
      <c r="G26" s="40"/>
      <c r="H26" s="38"/>
      <c r="I26" s="25"/>
      <c r="J26" s="41"/>
      <c r="K26" s="42"/>
      <c r="L26" s="43"/>
      <c r="M26" s="25"/>
    </row>
    <row r="27" ht="10.5" hidden="1" customHeight="1">
      <c r="A27" s="46" t="s">
        <v>32</v>
      </c>
      <c r="B27" s="47" t="s">
        <v>39</v>
      </c>
      <c r="C27" s="48"/>
      <c r="D27" s="38"/>
      <c r="E27" s="38"/>
      <c r="F27" s="40"/>
      <c r="G27" s="40"/>
      <c r="H27" s="38"/>
      <c r="I27" s="25"/>
      <c r="J27" s="41"/>
      <c r="K27" s="42"/>
      <c r="L27" s="43"/>
      <c r="M27" s="25"/>
    </row>
    <row r="28" ht="10.5" hidden="1" customHeight="1">
      <c r="A28" s="46" t="s">
        <v>33</v>
      </c>
      <c r="B28" s="47" t="s">
        <v>39</v>
      </c>
      <c r="C28" s="48"/>
      <c r="D28" s="38"/>
      <c r="E28" s="38"/>
      <c r="F28" s="40"/>
      <c r="G28" s="40"/>
      <c r="H28" s="38"/>
      <c r="I28" s="25"/>
      <c r="J28" s="41"/>
      <c r="K28" s="42"/>
      <c r="L28" s="43"/>
      <c r="M28" s="25"/>
    </row>
    <row r="29" ht="10.5" hidden="1" customHeight="1">
      <c r="A29" s="46" t="s">
        <v>34</v>
      </c>
      <c r="B29" s="47" t="s">
        <v>39</v>
      </c>
      <c r="C29" s="48"/>
      <c r="D29" s="38"/>
      <c r="E29" s="38"/>
      <c r="F29" s="40"/>
      <c r="G29" s="40"/>
      <c r="H29" s="38"/>
      <c r="I29" s="25"/>
      <c r="J29" s="41"/>
      <c r="K29" s="42"/>
      <c r="L29" s="43"/>
      <c r="M29" s="25"/>
    </row>
    <row r="30" ht="10.5" hidden="1" customHeight="1">
      <c r="A30" s="46" t="s">
        <v>35</v>
      </c>
      <c r="B30" s="47" t="s">
        <v>39</v>
      </c>
      <c r="C30" s="48"/>
      <c r="D30" s="38"/>
      <c r="E30" s="38"/>
      <c r="F30" s="40"/>
      <c r="G30" s="40"/>
      <c r="H30" s="38"/>
      <c r="I30" s="25"/>
      <c r="J30" s="41"/>
      <c r="K30" s="42"/>
      <c r="L30" s="43"/>
      <c r="M30" s="25"/>
    </row>
    <row r="31" ht="10.5" hidden="1" customHeight="1">
      <c r="A31" s="46" t="s">
        <v>36</v>
      </c>
      <c r="B31" s="47" t="s">
        <v>39</v>
      </c>
      <c r="C31" s="48"/>
      <c r="D31" s="38"/>
      <c r="E31" s="38"/>
      <c r="F31" s="40"/>
      <c r="G31" s="40"/>
      <c r="H31" s="38"/>
      <c r="I31" s="25"/>
      <c r="J31" s="41"/>
      <c r="K31" s="42"/>
      <c r="L31" s="43"/>
      <c r="M31" s="25"/>
    </row>
    <row r="32" ht="10.5" hidden="1" customHeight="1">
      <c r="A32" s="46" t="s">
        <v>37</v>
      </c>
      <c r="B32" s="47" t="s">
        <v>39</v>
      </c>
      <c r="C32" s="48"/>
      <c r="D32" s="38"/>
      <c r="E32" s="38"/>
      <c r="F32" s="40"/>
      <c r="G32" s="40"/>
      <c r="H32" s="38"/>
      <c r="I32" s="25"/>
      <c r="J32" s="41"/>
      <c r="K32" s="42"/>
      <c r="L32" s="43"/>
      <c r="M32" s="25"/>
    </row>
    <row r="33" ht="10.5" hidden="1" customHeight="1">
      <c r="A33" s="46" t="s">
        <v>38</v>
      </c>
      <c r="B33" s="47" t="s">
        <v>39</v>
      </c>
      <c r="C33" s="48"/>
      <c r="D33" s="38"/>
      <c r="E33" s="38"/>
      <c r="F33" s="40"/>
      <c r="G33" s="40"/>
      <c r="H33" s="38"/>
      <c r="I33" s="25"/>
      <c r="J33" s="41"/>
      <c r="K33" s="42"/>
      <c r="L33" s="43"/>
      <c r="M33" s="25"/>
    </row>
    <row r="34" ht="10.5" hidden="1" customHeight="1">
      <c r="A34" s="46" t="s">
        <v>26</v>
      </c>
      <c r="B34" s="49" t="s">
        <v>40</v>
      </c>
      <c r="C34" s="48"/>
      <c r="D34" s="38"/>
      <c r="E34" s="38"/>
      <c r="F34" s="40"/>
      <c r="G34" s="40"/>
      <c r="H34" s="38"/>
      <c r="I34" s="25"/>
      <c r="J34" s="41"/>
      <c r="K34" s="42"/>
      <c r="L34" s="43"/>
      <c r="M34" s="25"/>
    </row>
    <row r="35" ht="10.5" hidden="1" customHeight="1">
      <c r="A35" s="46" t="s">
        <v>28</v>
      </c>
      <c r="B35" s="49" t="s">
        <v>40</v>
      </c>
      <c r="C35" s="48"/>
      <c r="D35" s="38"/>
      <c r="E35" s="38"/>
      <c r="F35" s="40"/>
      <c r="G35" s="40"/>
      <c r="H35" s="38"/>
      <c r="I35" s="25"/>
      <c r="J35" s="41"/>
      <c r="K35" s="42"/>
      <c r="L35" s="43"/>
      <c r="M35" s="25"/>
    </row>
    <row r="36" ht="10.5" hidden="1" customHeight="1">
      <c r="A36" s="46" t="s">
        <v>29</v>
      </c>
      <c r="B36" s="49" t="s">
        <v>40</v>
      </c>
      <c r="C36" s="48"/>
      <c r="D36" s="38"/>
      <c r="E36" s="38"/>
      <c r="F36" s="40"/>
      <c r="G36" s="40"/>
      <c r="H36" s="38"/>
      <c r="I36" s="25"/>
      <c r="J36" s="41"/>
      <c r="K36" s="42"/>
      <c r="L36" s="43"/>
      <c r="M36" s="25"/>
    </row>
    <row r="37" ht="10.5" hidden="1" customHeight="1">
      <c r="A37" s="46" t="s">
        <v>30</v>
      </c>
      <c r="B37" s="49" t="s">
        <v>40</v>
      </c>
      <c r="C37" s="48"/>
      <c r="D37" s="38"/>
      <c r="E37" s="38"/>
      <c r="F37" s="40"/>
      <c r="G37" s="40"/>
      <c r="H37" s="38"/>
      <c r="I37" s="25"/>
      <c r="J37" s="41"/>
      <c r="K37" s="42"/>
      <c r="L37" s="43"/>
      <c r="M37" s="25"/>
    </row>
    <row r="38" ht="10.5" hidden="1" customHeight="1">
      <c r="A38" s="46" t="s">
        <v>41</v>
      </c>
      <c r="B38" s="49" t="s">
        <v>40</v>
      </c>
      <c r="C38" s="48"/>
      <c r="D38" s="38"/>
      <c r="E38" s="38"/>
      <c r="F38" s="40"/>
      <c r="G38" s="40"/>
      <c r="H38" s="38"/>
      <c r="I38" s="25"/>
      <c r="J38" s="41"/>
      <c r="K38" s="42"/>
      <c r="L38" s="43"/>
      <c r="M38" s="25"/>
    </row>
    <row r="39" ht="10.5" hidden="1" customHeight="1">
      <c r="A39" s="46" t="s">
        <v>32</v>
      </c>
      <c r="B39" s="49" t="s">
        <v>40</v>
      </c>
      <c r="C39" s="48"/>
      <c r="D39" s="38"/>
      <c r="E39" s="38"/>
      <c r="F39" s="40"/>
      <c r="G39" s="40"/>
      <c r="H39" s="38"/>
      <c r="I39" s="25"/>
      <c r="J39" s="41"/>
      <c r="K39" s="42"/>
      <c r="L39" s="43"/>
      <c r="M39" s="25"/>
    </row>
    <row r="40" ht="10.5" hidden="1" customHeight="1">
      <c r="A40" s="46" t="s">
        <v>33</v>
      </c>
      <c r="B40" s="49" t="s">
        <v>40</v>
      </c>
      <c r="C40" s="48"/>
      <c r="D40" s="38"/>
      <c r="E40" s="38"/>
      <c r="F40" s="40"/>
      <c r="G40" s="40"/>
      <c r="H40" s="38"/>
      <c r="I40" s="25"/>
      <c r="J40" s="41"/>
      <c r="K40" s="42"/>
      <c r="L40" s="43"/>
      <c r="M40" s="25"/>
    </row>
    <row r="41" ht="10.5" hidden="1" customHeight="1">
      <c r="A41" s="46" t="s">
        <v>34</v>
      </c>
      <c r="B41" s="49" t="s">
        <v>40</v>
      </c>
      <c r="C41" s="48"/>
      <c r="D41" s="38"/>
      <c r="E41" s="38"/>
      <c r="F41" s="40"/>
      <c r="G41" s="40"/>
      <c r="H41" s="38"/>
      <c r="I41" s="25"/>
      <c r="J41" s="41"/>
      <c r="K41" s="42"/>
      <c r="L41" s="43"/>
      <c r="M41" s="25"/>
    </row>
    <row r="42" ht="10.5" hidden="1" customHeight="1">
      <c r="A42" s="46" t="s">
        <v>35</v>
      </c>
      <c r="B42" s="49" t="s">
        <v>40</v>
      </c>
      <c r="C42" s="48"/>
      <c r="D42" s="38"/>
      <c r="E42" s="38"/>
      <c r="F42" s="40"/>
      <c r="G42" s="40"/>
      <c r="H42" s="38"/>
      <c r="I42" s="25"/>
      <c r="J42" s="41"/>
      <c r="K42" s="42"/>
      <c r="L42" s="43"/>
      <c r="M42" s="25"/>
    </row>
    <row r="43" ht="10.5" hidden="1" customHeight="1">
      <c r="A43" s="46" t="s">
        <v>36</v>
      </c>
      <c r="B43" s="49" t="s">
        <v>40</v>
      </c>
      <c r="C43" s="48"/>
      <c r="D43" s="38"/>
      <c r="E43" s="38"/>
      <c r="F43" s="40"/>
      <c r="G43" s="40"/>
      <c r="H43" s="38"/>
      <c r="I43" s="25"/>
      <c r="J43" s="41"/>
      <c r="K43" s="42"/>
      <c r="L43" s="43"/>
      <c r="M43" s="25"/>
    </row>
    <row r="44" ht="10.5" hidden="1" customHeight="1">
      <c r="A44" s="46" t="s">
        <v>37</v>
      </c>
      <c r="B44" s="49" t="s">
        <v>40</v>
      </c>
      <c r="C44" s="48"/>
      <c r="D44" s="38"/>
      <c r="E44" s="38"/>
      <c r="F44" s="40"/>
      <c r="G44" s="40"/>
      <c r="H44" s="38"/>
      <c r="I44" s="25"/>
      <c r="J44" s="41"/>
      <c r="K44" s="42"/>
      <c r="L44" s="43"/>
      <c r="M44" s="25"/>
    </row>
    <row r="45" ht="10.5" hidden="1" customHeight="1">
      <c r="A45" s="46" t="s">
        <v>38</v>
      </c>
      <c r="B45" s="49" t="s">
        <v>40</v>
      </c>
      <c r="C45" s="48"/>
      <c r="D45" s="38"/>
      <c r="E45" s="38"/>
      <c r="F45" s="40"/>
      <c r="G45" s="40"/>
      <c r="H45" s="38"/>
      <c r="I45" s="25"/>
      <c r="J45" s="41"/>
      <c r="K45" s="42"/>
      <c r="L45" s="43"/>
      <c r="M45" s="25"/>
    </row>
    <row r="46" ht="10.5" hidden="1" customHeight="1">
      <c r="A46" s="46" t="s">
        <v>26</v>
      </c>
      <c r="B46" s="49" t="s">
        <v>42</v>
      </c>
      <c r="C46" s="48"/>
      <c r="D46" s="38"/>
      <c r="E46" s="38"/>
      <c r="F46" s="40"/>
      <c r="G46" s="40"/>
      <c r="H46" s="38"/>
      <c r="I46" s="25"/>
      <c r="J46" s="41"/>
      <c r="K46" s="42"/>
      <c r="L46" s="43"/>
      <c r="M46" s="25"/>
    </row>
    <row r="47" ht="10.5" hidden="1" customHeight="1">
      <c r="A47" s="46" t="s">
        <v>28</v>
      </c>
      <c r="B47" s="49" t="s">
        <v>42</v>
      </c>
      <c r="C47" s="48"/>
      <c r="D47" s="38"/>
      <c r="E47" s="38"/>
      <c r="F47" s="40"/>
      <c r="G47" s="40"/>
      <c r="H47" s="38"/>
      <c r="I47" s="25"/>
      <c r="J47" s="41"/>
      <c r="K47" s="42"/>
      <c r="L47" s="43"/>
      <c r="M47" s="25"/>
    </row>
    <row r="48" ht="10.5" hidden="1" customHeight="1">
      <c r="A48" s="46" t="s">
        <v>29</v>
      </c>
      <c r="B48" s="49" t="s">
        <v>42</v>
      </c>
      <c r="C48" s="48"/>
      <c r="D48" s="38"/>
      <c r="E48" s="38"/>
      <c r="F48" s="40"/>
      <c r="G48" s="40"/>
      <c r="H48" s="38"/>
      <c r="I48" s="25"/>
      <c r="J48" s="41"/>
      <c r="K48" s="42"/>
      <c r="L48" s="43"/>
      <c r="M48" s="25"/>
    </row>
    <row r="49" ht="10.5" hidden="1" customHeight="1">
      <c r="A49" s="46" t="s">
        <v>30</v>
      </c>
      <c r="B49" s="49" t="s">
        <v>42</v>
      </c>
      <c r="C49" s="48"/>
      <c r="D49" s="38"/>
      <c r="E49" s="38"/>
      <c r="F49" s="40"/>
      <c r="G49" s="40"/>
      <c r="H49" s="38"/>
      <c r="I49" s="25"/>
      <c r="J49" s="41"/>
      <c r="K49" s="42"/>
      <c r="L49" s="43"/>
      <c r="M49" s="25"/>
    </row>
    <row r="50" ht="10.5" hidden="1" customHeight="1">
      <c r="A50" s="46" t="s">
        <v>31</v>
      </c>
      <c r="B50" s="49" t="s">
        <v>42</v>
      </c>
      <c r="C50" s="48"/>
      <c r="D50" s="38"/>
      <c r="E50" s="38"/>
      <c r="F50" s="40"/>
      <c r="G50" s="40"/>
      <c r="H50" s="38"/>
      <c r="I50" s="25"/>
      <c r="J50" s="41"/>
      <c r="K50" s="42"/>
      <c r="L50" s="43"/>
      <c r="M50" s="25"/>
    </row>
    <row r="51" ht="10.5" hidden="1" customHeight="1">
      <c r="A51" s="46" t="s">
        <v>32</v>
      </c>
      <c r="B51" s="49" t="s">
        <v>42</v>
      </c>
      <c r="C51" s="48"/>
      <c r="D51" s="38"/>
      <c r="E51" s="38"/>
      <c r="F51" s="40"/>
      <c r="G51" s="40"/>
      <c r="H51" s="38"/>
      <c r="I51" s="25"/>
      <c r="J51" s="41"/>
      <c r="K51" s="42"/>
      <c r="L51" s="43"/>
      <c r="M51" s="25"/>
    </row>
    <row r="52" ht="10.5" hidden="1" customHeight="1">
      <c r="A52" s="46" t="s">
        <v>33</v>
      </c>
      <c r="B52" s="49" t="s">
        <v>42</v>
      </c>
      <c r="C52" s="48"/>
      <c r="D52" s="38"/>
      <c r="E52" s="38"/>
      <c r="F52" s="40"/>
      <c r="G52" s="40"/>
      <c r="H52" s="38"/>
      <c r="I52" s="25"/>
      <c r="J52" s="41"/>
      <c r="K52" s="42"/>
      <c r="L52" s="43"/>
      <c r="M52" s="25"/>
    </row>
    <row r="53" ht="10.5" hidden="1" customHeight="1">
      <c r="A53" s="46" t="s">
        <v>34</v>
      </c>
      <c r="B53" s="49" t="s">
        <v>42</v>
      </c>
      <c r="C53" s="48"/>
      <c r="D53" s="38"/>
      <c r="E53" s="38"/>
      <c r="F53" s="40"/>
      <c r="G53" s="40"/>
      <c r="H53" s="38"/>
      <c r="I53" s="25"/>
      <c r="J53" s="41"/>
      <c r="K53" s="42"/>
      <c r="L53" s="43"/>
      <c r="M53" s="25"/>
    </row>
    <row r="54" ht="10.5" hidden="1" customHeight="1">
      <c r="A54" s="46" t="s">
        <v>35</v>
      </c>
      <c r="B54" s="49" t="s">
        <v>42</v>
      </c>
      <c r="C54" s="48"/>
      <c r="D54" s="38"/>
      <c r="E54" s="38"/>
      <c r="F54" s="40"/>
      <c r="G54" s="40"/>
      <c r="H54" s="38"/>
      <c r="I54" s="25"/>
      <c r="J54" s="41"/>
      <c r="K54" s="42"/>
      <c r="L54" s="43"/>
      <c r="M54" s="25"/>
    </row>
    <row r="55" ht="10.5" hidden="1" customHeight="1">
      <c r="A55" s="46" t="s">
        <v>36</v>
      </c>
      <c r="B55" s="49" t="s">
        <v>42</v>
      </c>
      <c r="C55" s="48"/>
      <c r="D55" s="38"/>
      <c r="E55" s="38"/>
      <c r="F55" s="40"/>
      <c r="G55" s="40"/>
      <c r="H55" s="38"/>
      <c r="I55" s="25"/>
      <c r="J55" s="41"/>
      <c r="K55" s="42"/>
      <c r="L55" s="43"/>
      <c r="M55" s="25"/>
    </row>
    <row r="56" ht="10.5" hidden="1" customHeight="1">
      <c r="A56" s="46" t="s">
        <v>37</v>
      </c>
      <c r="B56" s="49" t="s">
        <v>42</v>
      </c>
      <c r="C56" s="48"/>
      <c r="D56" s="38"/>
      <c r="E56" s="38"/>
      <c r="F56" s="40"/>
      <c r="G56" s="40"/>
      <c r="H56" s="38"/>
      <c r="I56" s="25"/>
      <c r="J56" s="41"/>
      <c r="K56" s="42"/>
      <c r="L56" s="43"/>
      <c r="M56" s="25"/>
    </row>
    <row r="57" ht="10.5" hidden="1" customHeight="1">
      <c r="A57" s="46" t="s">
        <v>38</v>
      </c>
      <c r="B57" s="49" t="s">
        <v>42</v>
      </c>
      <c r="C57" s="48"/>
      <c r="D57" s="38"/>
      <c r="E57" s="38"/>
      <c r="F57" s="40"/>
      <c r="G57" s="40"/>
      <c r="H57" s="38"/>
      <c r="I57" s="25"/>
      <c r="J57" s="41"/>
      <c r="K57" s="42"/>
      <c r="L57" s="43"/>
      <c r="M57" s="25"/>
    </row>
    <row r="58" ht="10.5" hidden="1" customHeight="1">
      <c r="A58" s="46" t="s">
        <v>26</v>
      </c>
      <c r="B58" s="49" t="s">
        <v>43</v>
      </c>
      <c r="C58" s="48"/>
      <c r="D58" s="38"/>
      <c r="E58" s="38"/>
      <c r="F58" s="40"/>
      <c r="G58" s="40"/>
      <c r="H58" s="38"/>
      <c r="I58" s="25"/>
      <c r="J58" s="41"/>
      <c r="K58" s="42"/>
      <c r="L58" s="43"/>
      <c r="M58" s="25"/>
    </row>
    <row r="59" ht="10.5" hidden="1" customHeight="1">
      <c r="A59" s="46" t="s">
        <v>28</v>
      </c>
      <c r="B59" s="49" t="s">
        <v>43</v>
      </c>
      <c r="C59" s="48"/>
      <c r="D59" s="38"/>
      <c r="E59" s="38"/>
      <c r="F59" s="40"/>
      <c r="G59" s="40"/>
      <c r="H59" s="38"/>
      <c r="I59" s="25"/>
      <c r="J59" s="41"/>
      <c r="K59" s="42"/>
      <c r="L59" s="43"/>
      <c r="M59" s="25"/>
    </row>
    <row r="60" ht="10.5" hidden="1" customHeight="1">
      <c r="A60" s="46" t="s">
        <v>29</v>
      </c>
      <c r="B60" s="49" t="s">
        <v>43</v>
      </c>
      <c r="C60" s="48"/>
      <c r="D60" s="38"/>
      <c r="E60" s="38"/>
      <c r="F60" s="40"/>
      <c r="G60" s="40"/>
      <c r="H60" s="38"/>
      <c r="I60" s="25"/>
      <c r="J60" s="41"/>
      <c r="K60" s="42"/>
      <c r="L60" s="43"/>
      <c r="M60" s="25"/>
    </row>
    <row r="61" ht="10.5" hidden="1" customHeight="1">
      <c r="A61" s="46" t="s">
        <v>30</v>
      </c>
      <c r="B61" s="49" t="s">
        <v>43</v>
      </c>
      <c r="C61" s="48"/>
      <c r="D61" s="38"/>
      <c r="E61" s="38"/>
      <c r="F61" s="40"/>
      <c r="G61" s="40"/>
      <c r="H61" s="38"/>
      <c r="I61" s="25"/>
      <c r="J61" s="41"/>
      <c r="K61" s="42"/>
      <c r="L61" s="43"/>
      <c r="M61" s="25"/>
    </row>
    <row r="62" ht="10.5" hidden="1" customHeight="1">
      <c r="A62" s="46" t="s">
        <v>41</v>
      </c>
      <c r="B62" s="49" t="s">
        <v>43</v>
      </c>
      <c r="C62" s="48"/>
      <c r="D62" s="38"/>
      <c r="E62" s="38"/>
      <c r="F62" s="40"/>
      <c r="G62" s="40"/>
      <c r="H62" s="38"/>
      <c r="I62" s="25"/>
      <c r="J62" s="41"/>
      <c r="K62" s="42"/>
      <c r="L62" s="43"/>
      <c r="M62" s="25"/>
    </row>
    <row r="63" ht="10.5" hidden="1" customHeight="1">
      <c r="A63" s="46" t="s">
        <v>32</v>
      </c>
      <c r="B63" s="49" t="s">
        <v>43</v>
      </c>
      <c r="C63" s="48"/>
      <c r="D63" s="38"/>
      <c r="E63" s="38"/>
      <c r="F63" s="40"/>
      <c r="G63" s="40"/>
      <c r="H63" s="38"/>
      <c r="I63" s="25"/>
      <c r="J63" s="41"/>
      <c r="K63" s="42"/>
      <c r="L63" s="43"/>
      <c r="M63" s="25"/>
    </row>
    <row r="64" ht="10.5" hidden="1" customHeight="1">
      <c r="A64" s="46" t="s">
        <v>33</v>
      </c>
      <c r="B64" s="49" t="s">
        <v>43</v>
      </c>
      <c r="C64" s="48"/>
      <c r="D64" s="38"/>
      <c r="E64" s="38"/>
      <c r="F64" s="40"/>
      <c r="G64" s="40"/>
      <c r="H64" s="38"/>
      <c r="I64" s="25"/>
      <c r="J64" s="41"/>
      <c r="K64" s="42"/>
      <c r="L64" s="43"/>
      <c r="M64" s="25"/>
    </row>
    <row r="65" ht="10.5" hidden="1" customHeight="1">
      <c r="A65" s="46" t="s">
        <v>44</v>
      </c>
      <c r="B65" s="49" t="s">
        <v>43</v>
      </c>
      <c r="C65" s="48"/>
      <c r="D65" s="38"/>
      <c r="E65" s="38"/>
      <c r="F65" s="40"/>
      <c r="G65" s="40"/>
      <c r="H65" s="38"/>
      <c r="I65" s="25"/>
      <c r="J65" s="41"/>
      <c r="K65" s="42"/>
      <c r="L65" s="43"/>
      <c r="M65" s="25"/>
    </row>
    <row r="66" ht="10.5" hidden="1" customHeight="1">
      <c r="A66" s="46" t="s">
        <v>35</v>
      </c>
      <c r="B66" s="49" t="s">
        <v>43</v>
      </c>
      <c r="C66" s="48"/>
      <c r="D66" s="38"/>
      <c r="E66" s="38"/>
      <c r="F66" s="40"/>
      <c r="G66" s="40"/>
      <c r="H66" s="38"/>
      <c r="I66" s="25"/>
      <c r="J66" s="41"/>
      <c r="K66" s="42"/>
      <c r="L66" s="43"/>
      <c r="M66" s="25"/>
    </row>
    <row r="67" ht="10.5" hidden="1" customHeight="1">
      <c r="A67" s="46" t="s">
        <v>36</v>
      </c>
      <c r="B67" s="49" t="s">
        <v>43</v>
      </c>
      <c r="C67" s="48"/>
      <c r="D67" s="38"/>
      <c r="E67" s="38"/>
      <c r="F67" s="40"/>
      <c r="G67" s="40"/>
      <c r="H67" s="38"/>
      <c r="I67" s="25"/>
      <c r="J67" s="41"/>
      <c r="K67" s="42"/>
      <c r="L67" s="43"/>
      <c r="M67" s="25"/>
    </row>
    <row r="68" ht="10.5" hidden="1" customHeight="1">
      <c r="A68" s="46" t="s">
        <v>37</v>
      </c>
      <c r="B68" s="49" t="s">
        <v>43</v>
      </c>
      <c r="C68" s="48"/>
      <c r="D68" s="38"/>
      <c r="E68" s="38"/>
      <c r="F68" s="40"/>
      <c r="G68" s="40"/>
      <c r="H68" s="38"/>
      <c r="I68" s="25"/>
      <c r="J68" s="41"/>
      <c r="K68" s="42"/>
      <c r="L68" s="43"/>
      <c r="M68" s="25"/>
    </row>
    <row r="69" ht="10.5" hidden="1" customHeight="1">
      <c r="A69" s="46" t="s">
        <v>45</v>
      </c>
      <c r="B69" s="49" t="s">
        <v>43</v>
      </c>
      <c r="C69" s="48"/>
      <c r="D69" s="38"/>
      <c r="E69" s="38"/>
      <c r="F69" s="40"/>
      <c r="G69" s="40"/>
      <c r="H69" s="38"/>
      <c r="I69" s="25"/>
      <c r="J69" s="41"/>
      <c r="K69" s="42"/>
      <c r="L69" s="43"/>
      <c r="M69" s="25"/>
    </row>
    <row r="70" ht="10.5" hidden="1" customHeight="1">
      <c r="A70" s="46" t="s">
        <v>26</v>
      </c>
      <c r="B70" s="49" t="s">
        <v>46</v>
      </c>
      <c r="C70" s="48"/>
      <c r="D70" s="38"/>
      <c r="E70" s="38"/>
      <c r="F70" s="40"/>
      <c r="G70" s="40"/>
      <c r="H70" s="38"/>
      <c r="I70" s="25"/>
      <c r="J70" s="41"/>
      <c r="K70" s="42"/>
      <c r="L70" s="43"/>
      <c r="M70" s="25"/>
    </row>
    <row r="71" ht="10.5" hidden="1" customHeight="1">
      <c r="A71" s="46" t="s">
        <v>28</v>
      </c>
      <c r="B71" s="49" t="s">
        <v>46</v>
      </c>
      <c r="C71" s="48"/>
      <c r="D71" s="30"/>
      <c r="E71" s="38"/>
      <c r="F71" s="40"/>
      <c r="G71" s="40"/>
      <c r="H71" s="38"/>
      <c r="I71" s="25"/>
      <c r="J71" s="41"/>
      <c r="K71" s="42"/>
      <c r="L71" s="43"/>
      <c r="M71" s="25"/>
    </row>
    <row r="72" ht="10.5" hidden="1" customHeight="1">
      <c r="A72" s="46" t="s">
        <v>29</v>
      </c>
      <c r="B72" s="49" t="s">
        <v>46</v>
      </c>
      <c r="C72" s="48"/>
      <c r="D72" s="38"/>
      <c r="E72" s="38"/>
      <c r="F72" s="40"/>
      <c r="G72" s="40"/>
      <c r="H72" s="38"/>
      <c r="I72" s="25"/>
      <c r="J72" s="41"/>
      <c r="K72" s="42"/>
      <c r="L72" s="43"/>
      <c r="M72" s="25"/>
    </row>
    <row r="73" ht="10.5" hidden="1" customHeight="1">
      <c r="A73" s="46" t="s">
        <v>30</v>
      </c>
      <c r="B73" s="49" t="s">
        <v>46</v>
      </c>
      <c r="C73" s="48"/>
      <c r="D73" s="38"/>
      <c r="E73" s="38"/>
      <c r="F73" s="40"/>
      <c r="G73" s="40"/>
      <c r="H73" s="38"/>
      <c r="I73" s="25"/>
      <c r="J73" s="41"/>
      <c r="K73" s="42"/>
      <c r="L73" s="43"/>
      <c r="M73" s="25"/>
    </row>
    <row r="74" ht="10.5" hidden="1" customHeight="1">
      <c r="A74" s="46" t="s">
        <v>31</v>
      </c>
      <c r="B74" s="49" t="s">
        <v>46</v>
      </c>
      <c r="C74" s="48"/>
      <c r="D74" s="38"/>
      <c r="E74" s="38"/>
      <c r="F74" s="40"/>
      <c r="G74" s="40"/>
      <c r="H74" s="38"/>
      <c r="I74" s="25"/>
      <c r="J74" s="41"/>
      <c r="K74" s="42"/>
      <c r="L74" s="43"/>
      <c r="M74" s="25"/>
    </row>
    <row r="75" ht="10.5" hidden="1" customHeight="1">
      <c r="A75" s="46" t="s">
        <v>32</v>
      </c>
      <c r="B75" s="49" t="s">
        <v>46</v>
      </c>
      <c r="C75" s="48"/>
      <c r="D75" s="38"/>
      <c r="E75" s="38"/>
      <c r="F75" s="40"/>
      <c r="G75" s="40"/>
      <c r="H75" s="38"/>
      <c r="I75" s="25"/>
      <c r="J75" s="41"/>
      <c r="K75" s="42"/>
      <c r="L75" s="43"/>
      <c r="M75" s="25"/>
    </row>
    <row r="76" ht="10.5" hidden="1" customHeight="1">
      <c r="A76" s="46" t="s">
        <v>33</v>
      </c>
      <c r="B76" s="49" t="s">
        <v>46</v>
      </c>
      <c r="C76" s="48"/>
      <c r="D76" s="38"/>
      <c r="E76" s="38"/>
      <c r="F76" s="40"/>
      <c r="G76" s="40"/>
      <c r="H76" s="38"/>
      <c r="I76" s="25"/>
      <c r="J76" s="41"/>
      <c r="K76" s="42"/>
      <c r="L76" s="43"/>
      <c r="M76" s="25"/>
    </row>
    <row r="77" ht="10.5" hidden="1" customHeight="1">
      <c r="A77" s="46" t="s">
        <v>34</v>
      </c>
      <c r="B77" s="49" t="s">
        <v>46</v>
      </c>
      <c r="C77" s="48"/>
      <c r="D77" s="38"/>
      <c r="E77" s="38"/>
      <c r="F77" s="40"/>
      <c r="G77" s="40"/>
      <c r="H77" s="38"/>
      <c r="I77" s="25"/>
      <c r="J77" s="41"/>
      <c r="K77" s="42"/>
      <c r="L77" s="43"/>
      <c r="M77" s="25"/>
    </row>
    <row r="78" ht="10.5" hidden="1" customHeight="1">
      <c r="A78" s="46" t="s">
        <v>35</v>
      </c>
      <c r="B78" s="49" t="s">
        <v>46</v>
      </c>
      <c r="C78" s="48"/>
      <c r="D78" s="38"/>
      <c r="E78" s="38"/>
      <c r="F78" s="40"/>
      <c r="G78" s="40"/>
      <c r="H78" s="38"/>
      <c r="I78" s="25"/>
      <c r="J78" s="41"/>
      <c r="K78" s="42"/>
      <c r="L78" s="43"/>
      <c r="M78" s="25"/>
    </row>
    <row r="79" ht="10.5" hidden="1" customHeight="1">
      <c r="A79" s="46" t="s">
        <v>36</v>
      </c>
      <c r="B79" s="49" t="s">
        <v>46</v>
      </c>
      <c r="C79" s="48"/>
      <c r="D79" s="38"/>
      <c r="E79" s="38"/>
      <c r="F79" s="40"/>
      <c r="G79" s="40"/>
      <c r="H79" s="38"/>
      <c r="I79" s="25"/>
      <c r="J79" s="41"/>
      <c r="K79" s="42"/>
      <c r="L79" s="43"/>
      <c r="M79" s="25"/>
    </row>
    <row r="80" ht="10.5" hidden="1" customHeight="1">
      <c r="A80" s="46" t="s">
        <v>37</v>
      </c>
      <c r="B80" s="49" t="s">
        <v>46</v>
      </c>
      <c r="C80" s="48"/>
      <c r="D80" s="38"/>
      <c r="E80" s="38"/>
      <c r="F80" s="40"/>
      <c r="G80" s="40"/>
      <c r="H80" s="38"/>
      <c r="I80" s="25"/>
      <c r="J80" s="41"/>
      <c r="K80" s="42"/>
      <c r="L80" s="43"/>
      <c r="M80" s="25"/>
    </row>
    <row r="81" ht="10.5" hidden="1" customHeight="1">
      <c r="A81" s="46" t="s">
        <v>38</v>
      </c>
      <c r="B81" s="49" t="s">
        <v>46</v>
      </c>
      <c r="C81" s="48"/>
      <c r="D81" s="38"/>
      <c r="E81" s="38"/>
      <c r="F81" s="40"/>
      <c r="G81" s="40"/>
      <c r="H81" s="38"/>
      <c r="I81" s="25"/>
      <c r="J81" s="41"/>
      <c r="K81" s="42"/>
      <c r="L81" s="43"/>
      <c r="M81" s="25"/>
    </row>
    <row r="82" ht="10.5" hidden="1" customHeight="1">
      <c r="A82" s="46" t="s">
        <v>26</v>
      </c>
      <c r="B82" s="49" t="s">
        <v>47</v>
      </c>
      <c r="C82" s="48"/>
      <c r="D82" s="38"/>
      <c r="E82" s="38"/>
      <c r="F82" s="40"/>
      <c r="G82" s="40"/>
      <c r="H82" s="38"/>
      <c r="I82" s="25"/>
      <c r="J82" s="41"/>
      <c r="K82" s="42"/>
      <c r="L82" s="43"/>
      <c r="M82" s="25"/>
    </row>
    <row r="83" ht="10.5" hidden="1" customHeight="1">
      <c r="A83" s="46" t="s">
        <v>28</v>
      </c>
      <c r="B83" s="49" t="s">
        <v>47</v>
      </c>
      <c r="C83" s="48"/>
      <c r="D83" s="38"/>
      <c r="E83" s="38"/>
      <c r="F83" s="40"/>
      <c r="G83" s="40"/>
      <c r="H83" s="38"/>
      <c r="I83" s="25"/>
      <c r="J83" s="41"/>
      <c r="K83" s="42"/>
      <c r="L83" s="43"/>
      <c r="M83" s="25"/>
    </row>
    <row r="84" ht="10.5" hidden="1" customHeight="1">
      <c r="A84" s="46" t="s">
        <v>29</v>
      </c>
      <c r="B84" s="49" t="s">
        <v>47</v>
      </c>
      <c r="C84" s="48"/>
      <c r="D84" s="38"/>
      <c r="E84" s="38"/>
      <c r="F84" s="40"/>
      <c r="G84" s="40"/>
      <c r="H84" s="38"/>
      <c r="I84" s="25"/>
      <c r="J84" s="41"/>
      <c r="K84" s="42"/>
      <c r="L84" s="43"/>
      <c r="M84" s="25"/>
    </row>
    <row r="85" ht="10.5" hidden="1" customHeight="1">
      <c r="A85" s="46" t="s">
        <v>30</v>
      </c>
      <c r="B85" s="49" t="s">
        <v>47</v>
      </c>
      <c r="C85" s="48"/>
      <c r="D85" s="38"/>
      <c r="E85" s="38"/>
      <c r="F85" s="40"/>
      <c r="G85" s="40"/>
      <c r="H85" s="38"/>
      <c r="I85" s="25"/>
      <c r="J85" s="41"/>
      <c r="K85" s="42"/>
      <c r="L85" s="43"/>
      <c r="M85" s="25"/>
    </row>
    <row r="86" ht="10.5" hidden="1" customHeight="1">
      <c r="A86" s="46" t="s">
        <v>31</v>
      </c>
      <c r="B86" s="49" t="s">
        <v>47</v>
      </c>
      <c r="C86" s="48"/>
      <c r="D86" s="38"/>
      <c r="E86" s="38"/>
      <c r="F86" s="40"/>
      <c r="G86" s="40"/>
      <c r="H86" s="38"/>
      <c r="I86" s="25"/>
      <c r="J86" s="41"/>
      <c r="K86" s="42"/>
      <c r="L86" s="43"/>
      <c r="M86" s="25"/>
    </row>
    <row r="87" ht="10.5" hidden="1" customHeight="1">
      <c r="A87" s="46" t="s">
        <v>32</v>
      </c>
      <c r="B87" s="49" t="s">
        <v>47</v>
      </c>
      <c r="C87" s="48"/>
      <c r="D87" s="38"/>
      <c r="E87" s="38"/>
      <c r="F87" s="40"/>
      <c r="G87" s="40"/>
      <c r="H87" s="38"/>
      <c r="I87" s="25"/>
      <c r="J87" s="41"/>
      <c r="K87" s="42"/>
      <c r="L87" s="43"/>
      <c r="M87" s="25"/>
    </row>
    <row r="88" ht="10.5" hidden="1" customHeight="1">
      <c r="A88" s="46" t="s">
        <v>33</v>
      </c>
      <c r="B88" s="49" t="s">
        <v>47</v>
      </c>
      <c r="C88" s="48"/>
      <c r="D88" s="38"/>
      <c r="E88" s="38"/>
      <c r="F88" s="40"/>
      <c r="G88" s="40"/>
      <c r="H88" s="38"/>
      <c r="I88" s="25"/>
      <c r="J88" s="41"/>
      <c r="K88" s="42"/>
      <c r="L88" s="43"/>
      <c r="M88" s="25"/>
    </row>
    <row r="89" ht="10.5" hidden="1" customHeight="1">
      <c r="A89" s="46" t="s">
        <v>34</v>
      </c>
      <c r="B89" s="49" t="s">
        <v>47</v>
      </c>
      <c r="C89" s="48"/>
      <c r="D89" s="38"/>
      <c r="E89" s="38"/>
      <c r="F89" s="40"/>
      <c r="G89" s="40"/>
      <c r="H89" s="38"/>
      <c r="I89" s="25"/>
      <c r="J89" s="41"/>
      <c r="K89" s="42"/>
      <c r="L89" s="43"/>
      <c r="M89" s="25"/>
    </row>
    <row r="90" ht="10.5" hidden="1" customHeight="1">
      <c r="A90" s="46" t="s">
        <v>35</v>
      </c>
      <c r="B90" s="49" t="s">
        <v>47</v>
      </c>
      <c r="C90" s="48"/>
      <c r="D90" s="38"/>
      <c r="E90" s="38"/>
      <c r="F90" s="40"/>
      <c r="G90" s="40"/>
      <c r="H90" s="38"/>
      <c r="I90" s="25"/>
      <c r="J90" s="41"/>
      <c r="K90" s="42"/>
      <c r="L90" s="43"/>
      <c r="M90" s="25"/>
    </row>
    <row r="91" ht="10.5" hidden="1" customHeight="1">
      <c r="A91" s="46" t="s">
        <v>36</v>
      </c>
      <c r="B91" s="49" t="s">
        <v>47</v>
      </c>
      <c r="C91" s="48"/>
      <c r="D91" s="38"/>
      <c r="E91" s="38"/>
      <c r="F91" s="40"/>
      <c r="G91" s="40"/>
      <c r="H91" s="38"/>
      <c r="I91" s="25"/>
      <c r="J91" s="41"/>
      <c r="K91" s="42"/>
      <c r="L91" s="43"/>
      <c r="M91" s="25"/>
    </row>
    <row r="92" ht="10.5" hidden="1" customHeight="1">
      <c r="A92" s="46" t="s">
        <v>37</v>
      </c>
      <c r="B92" s="49" t="s">
        <v>47</v>
      </c>
      <c r="C92" s="48"/>
      <c r="D92" s="38"/>
      <c r="E92" s="38"/>
      <c r="F92" s="40"/>
      <c r="G92" s="40"/>
      <c r="H92" s="38"/>
      <c r="I92" s="25"/>
      <c r="J92" s="41"/>
      <c r="K92" s="42"/>
      <c r="L92" s="43"/>
      <c r="M92" s="25"/>
    </row>
    <row r="93" ht="10.5" hidden="1" customHeight="1">
      <c r="A93" s="46" t="s">
        <v>38</v>
      </c>
      <c r="B93" s="49" t="s">
        <v>47</v>
      </c>
      <c r="C93" s="48"/>
      <c r="D93" s="38"/>
      <c r="E93" s="38"/>
      <c r="F93" s="40"/>
      <c r="G93" s="40"/>
      <c r="H93" s="38"/>
      <c r="I93" s="25"/>
      <c r="J93" s="41"/>
      <c r="K93" s="42"/>
      <c r="L93" s="43"/>
      <c r="M93" s="25"/>
    </row>
    <row r="94" ht="10.5" hidden="1" customHeight="1">
      <c r="A94" s="46" t="s">
        <v>26</v>
      </c>
      <c r="B94" s="49" t="s">
        <v>48</v>
      </c>
      <c r="C94" s="48"/>
      <c r="D94" s="38"/>
      <c r="E94" s="38"/>
      <c r="F94" s="40"/>
      <c r="G94" s="40"/>
      <c r="H94" s="38"/>
      <c r="I94" s="25"/>
      <c r="J94" s="41"/>
      <c r="K94" s="42"/>
      <c r="L94" s="43"/>
      <c r="M94" s="25"/>
    </row>
    <row r="95" ht="10.5" hidden="1" customHeight="1">
      <c r="A95" s="46" t="s">
        <v>28</v>
      </c>
      <c r="B95" s="49" t="s">
        <v>48</v>
      </c>
      <c r="C95" s="48"/>
      <c r="D95" s="38"/>
      <c r="E95" s="38"/>
      <c r="F95" s="40"/>
      <c r="G95" s="40"/>
      <c r="H95" s="38"/>
      <c r="I95" s="25"/>
      <c r="J95" s="41"/>
      <c r="K95" s="42"/>
      <c r="L95" s="43"/>
      <c r="M95" s="25"/>
    </row>
    <row r="96" ht="10.5" hidden="1" customHeight="1">
      <c r="A96" s="46" t="s">
        <v>29</v>
      </c>
      <c r="B96" s="49" t="s">
        <v>48</v>
      </c>
      <c r="C96" s="48"/>
      <c r="D96" s="38"/>
      <c r="E96" s="38"/>
      <c r="F96" s="40"/>
      <c r="G96" s="40"/>
      <c r="H96" s="38"/>
      <c r="I96" s="25"/>
      <c r="J96" s="41"/>
      <c r="K96" s="42"/>
      <c r="L96" s="43"/>
      <c r="M96" s="25"/>
    </row>
    <row r="97" ht="10.5" hidden="1" customHeight="1">
      <c r="A97" s="46" t="s">
        <v>30</v>
      </c>
      <c r="B97" s="49" t="s">
        <v>48</v>
      </c>
      <c r="C97" s="48"/>
      <c r="D97" s="38"/>
      <c r="E97" s="38"/>
      <c r="F97" s="40"/>
      <c r="G97" s="40"/>
      <c r="H97" s="38"/>
      <c r="I97" s="25"/>
      <c r="J97" s="41"/>
      <c r="K97" s="42"/>
      <c r="L97" s="43"/>
      <c r="M97" s="25"/>
    </row>
    <row r="98" ht="10.5" hidden="1" customHeight="1">
      <c r="A98" s="46" t="s">
        <v>31</v>
      </c>
      <c r="B98" s="49" t="s">
        <v>48</v>
      </c>
      <c r="C98" s="48"/>
      <c r="D98" s="38"/>
      <c r="E98" s="38"/>
      <c r="F98" s="40"/>
      <c r="G98" s="40"/>
      <c r="H98" s="38"/>
      <c r="I98" s="25"/>
      <c r="J98" s="41"/>
      <c r="K98" s="42"/>
      <c r="L98" s="43"/>
      <c r="M98" s="25"/>
    </row>
    <row r="99" ht="10.5" hidden="1" customHeight="1">
      <c r="A99" s="46" t="s">
        <v>32</v>
      </c>
      <c r="B99" s="49" t="s">
        <v>48</v>
      </c>
      <c r="C99" s="48"/>
      <c r="D99" s="38"/>
      <c r="E99" s="38"/>
      <c r="F99" s="40"/>
      <c r="G99" s="40"/>
      <c r="H99" s="38"/>
      <c r="I99" s="25"/>
      <c r="J99" s="41"/>
      <c r="K99" s="42"/>
      <c r="L99" s="43"/>
      <c r="M99" s="25"/>
    </row>
    <row r="100" ht="10.5" hidden="1" customHeight="1">
      <c r="A100" s="46" t="s">
        <v>33</v>
      </c>
      <c r="B100" s="49" t="s">
        <v>48</v>
      </c>
      <c r="C100" s="48"/>
      <c r="D100" s="38"/>
      <c r="E100" s="38"/>
      <c r="F100" s="40"/>
      <c r="G100" s="40"/>
      <c r="H100" s="38"/>
      <c r="I100" s="25"/>
      <c r="J100" s="41"/>
      <c r="K100" s="42"/>
      <c r="L100" s="43"/>
      <c r="M100" s="25"/>
    </row>
    <row r="101" ht="10.5" hidden="1" customHeight="1">
      <c r="A101" s="46" t="s">
        <v>44</v>
      </c>
      <c r="B101" s="49" t="s">
        <v>48</v>
      </c>
      <c r="C101" s="48"/>
      <c r="D101" s="38"/>
      <c r="E101" s="38"/>
      <c r="F101" s="40"/>
      <c r="G101" s="40"/>
      <c r="H101" s="38"/>
      <c r="I101" s="25"/>
      <c r="J101" s="41"/>
      <c r="K101" s="42"/>
      <c r="L101" s="43"/>
      <c r="M101" s="25"/>
    </row>
    <row r="102" ht="10.5" hidden="1" customHeight="1">
      <c r="A102" s="46" t="s">
        <v>35</v>
      </c>
      <c r="B102" s="49" t="s">
        <v>48</v>
      </c>
      <c r="C102" s="48"/>
      <c r="D102" s="38"/>
      <c r="E102" s="38"/>
      <c r="F102" s="40"/>
      <c r="G102" s="40"/>
      <c r="H102" s="38"/>
      <c r="I102" s="25"/>
      <c r="J102" s="41"/>
      <c r="K102" s="42"/>
      <c r="L102" s="43"/>
      <c r="M102" s="25"/>
    </row>
    <row r="103" ht="10.5" hidden="1" customHeight="1">
      <c r="A103" s="46" t="s">
        <v>36</v>
      </c>
      <c r="B103" s="49" t="s">
        <v>48</v>
      </c>
      <c r="C103" s="48"/>
      <c r="D103" s="38"/>
      <c r="E103" s="38"/>
      <c r="F103" s="40"/>
      <c r="G103" s="40"/>
      <c r="H103" s="38"/>
      <c r="I103" s="25"/>
      <c r="J103" s="41"/>
      <c r="K103" s="42"/>
      <c r="L103" s="43"/>
      <c r="M103" s="25"/>
    </row>
    <row r="104" ht="10.5" hidden="1" customHeight="1">
      <c r="A104" s="46" t="s">
        <v>37</v>
      </c>
      <c r="B104" s="49" t="s">
        <v>48</v>
      </c>
      <c r="C104" s="48"/>
      <c r="D104" s="38"/>
      <c r="E104" s="38"/>
      <c r="F104" s="40"/>
      <c r="G104" s="40"/>
      <c r="H104" s="38"/>
      <c r="I104" s="25"/>
      <c r="J104" s="41"/>
      <c r="K104" s="42"/>
      <c r="L104" s="43"/>
      <c r="M104" s="25"/>
    </row>
    <row r="105" ht="10.5" hidden="1" customHeight="1">
      <c r="A105" s="46" t="s">
        <v>38</v>
      </c>
      <c r="B105" s="49" t="s">
        <v>48</v>
      </c>
      <c r="C105" s="48"/>
      <c r="D105" s="38"/>
      <c r="E105" s="38"/>
      <c r="F105" s="40"/>
      <c r="G105" s="40"/>
      <c r="H105" s="38"/>
      <c r="I105" s="25"/>
      <c r="J105" s="41"/>
      <c r="K105" s="42"/>
      <c r="L105" s="43"/>
      <c r="M105" s="25"/>
    </row>
    <row r="106" ht="10.5" hidden="1" customHeight="1">
      <c r="A106" s="46" t="s">
        <v>26</v>
      </c>
      <c r="B106" s="49" t="s">
        <v>49</v>
      </c>
      <c r="C106" s="48"/>
      <c r="D106" s="38"/>
      <c r="E106" s="38"/>
      <c r="F106" s="40"/>
      <c r="G106" s="40"/>
      <c r="H106" s="38"/>
      <c r="I106" s="25"/>
      <c r="J106" s="41"/>
      <c r="K106" s="42"/>
      <c r="L106" s="43"/>
      <c r="M106" s="25"/>
    </row>
    <row r="107" ht="10.5" hidden="1" customHeight="1">
      <c r="A107" s="46" t="s">
        <v>28</v>
      </c>
      <c r="B107" s="49" t="s">
        <v>49</v>
      </c>
      <c r="C107" s="48"/>
      <c r="D107" s="38"/>
      <c r="E107" s="38"/>
      <c r="F107" s="40"/>
      <c r="G107" s="40"/>
      <c r="H107" s="38"/>
      <c r="I107" s="25"/>
      <c r="J107" s="41"/>
      <c r="K107" s="42"/>
      <c r="L107" s="43"/>
      <c r="M107" s="25"/>
    </row>
    <row r="108" ht="10.5" hidden="1" customHeight="1">
      <c r="A108" s="46" t="s">
        <v>50</v>
      </c>
      <c r="B108" s="49" t="s">
        <v>49</v>
      </c>
      <c r="C108" s="48"/>
      <c r="D108" s="38"/>
      <c r="E108" s="38"/>
      <c r="F108" s="40"/>
      <c r="G108" s="40"/>
      <c r="H108" s="38"/>
      <c r="I108" s="25"/>
      <c r="J108" s="41"/>
      <c r="K108" s="42"/>
      <c r="L108" s="43"/>
      <c r="M108" s="25"/>
    </row>
    <row r="109" ht="10.5" hidden="1" customHeight="1">
      <c r="A109" s="46" t="s">
        <v>30</v>
      </c>
      <c r="B109" s="49" t="s">
        <v>49</v>
      </c>
      <c r="C109" s="48"/>
      <c r="D109" s="38"/>
      <c r="E109" s="38"/>
      <c r="F109" s="40"/>
      <c r="G109" s="40"/>
      <c r="H109" s="38"/>
      <c r="I109" s="25"/>
      <c r="J109" s="41"/>
      <c r="K109" s="42"/>
      <c r="L109" s="43"/>
      <c r="M109" s="25"/>
    </row>
    <row r="110" ht="10.5" hidden="1" customHeight="1">
      <c r="A110" s="46" t="s">
        <v>31</v>
      </c>
      <c r="B110" s="49" t="s">
        <v>49</v>
      </c>
      <c r="C110" s="48"/>
      <c r="D110" s="38"/>
      <c r="E110" s="38"/>
      <c r="F110" s="40"/>
      <c r="G110" s="40"/>
      <c r="H110" s="38"/>
      <c r="I110" s="25"/>
      <c r="J110" s="41"/>
      <c r="K110" s="42"/>
      <c r="L110" s="43"/>
      <c r="M110" s="25"/>
    </row>
    <row r="111" ht="10.5" hidden="1" customHeight="1">
      <c r="A111" s="46" t="s">
        <v>32</v>
      </c>
      <c r="B111" s="49" t="s">
        <v>49</v>
      </c>
      <c r="C111" s="48"/>
      <c r="D111" s="38"/>
      <c r="E111" s="38"/>
      <c r="F111" s="40"/>
      <c r="G111" s="40"/>
      <c r="H111" s="38"/>
      <c r="I111" s="25"/>
      <c r="J111" s="41"/>
      <c r="K111" s="42"/>
      <c r="L111" s="43"/>
      <c r="M111" s="25"/>
    </row>
    <row r="112" ht="10.5" hidden="1" customHeight="1">
      <c r="A112" s="46" t="s">
        <v>33</v>
      </c>
      <c r="B112" s="49" t="s">
        <v>49</v>
      </c>
      <c r="C112" s="48"/>
      <c r="D112" s="38"/>
      <c r="E112" s="38"/>
      <c r="F112" s="40"/>
      <c r="G112" s="40"/>
      <c r="H112" s="38"/>
      <c r="I112" s="25"/>
      <c r="J112" s="41"/>
      <c r="K112" s="42"/>
      <c r="L112" s="43"/>
      <c r="M112" s="25"/>
    </row>
    <row r="113" ht="10.5" hidden="1" customHeight="1">
      <c r="A113" s="46" t="s">
        <v>34</v>
      </c>
      <c r="B113" s="49" t="s">
        <v>49</v>
      </c>
      <c r="C113" s="48"/>
      <c r="D113" s="38"/>
      <c r="E113" s="38"/>
      <c r="F113" s="40"/>
      <c r="G113" s="40"/>
      <c r="H113" s="38"/>
      <c r="I113" s="25"/>
      <c r="J113" s="41"/>
      <c r="K113" s="42"/>
      <c r="L113" s="43"/>
      <c r="M113" s="25"/>
    </row>
    <row r="114" ht="10.5" hidden="1" customHeight="1">
      <c r="A114" s="46" t="s">
        <v>35</v>
      </c>
      <c r="B114" s="49" t="s">
        <v>49</v>
      </c>
      <c r="C114" s="48"/>
      <c r="D114" s="38"/>
      <c r="E114" s="38"/>
      <c r="F114" s="40"/>
      <c r="G114" s="40"/>
      <c r="H114" s="38"/>
      <c r="I114" s="25"/>
      <c r="J114" s="41"/>
      <c r="K114" s="42"/>
      <c r="L114" s="43"/>
      <c r="M114" s="25"/>
    </row>
    <row r="115" ht="10.5" hidden="1" customHeight="1">
      <c r="A115" s="46" t="s">
        <v>36</v>
      </c>
      <c r="B115" s="49" t="s">
        <v>49</v>
      </c>
      <c r="C115" s="48"/>
      <c r="D115" s="38"/>
      <c r="E115" s="38"/>
      <c r="F115" s="40"/>
      <c r="G115" s="40"/>
      <c r="H115" s="38"/>
      <c r="I115" s="25"/>
      <c r="J115" s="41"/>
      <c r="K115" s="42"/>
      <c r="L115" s="43"/>
      <c r="M115" s="25"/>
    </row>
    <row r="116" ht="10.5" hidden="1" customHeight="1">
      <c r="A116" s="46" t="s">
        <v>37</v>
      </c>
      <c r="B116" s="49" t="s">
        <v>49</v>
      </c>
      <c r="C116" s="48"/>
      <c r="D116" s="38"/>
      <c r="E116" s="38"/>
      <c r="F116" s="40"/>
      <c r="G116" s="40"/>
      <c r="H116" s="38"/>
      <c r="I116" s="25"/>
      <c r="J116" s="41"/>
      <c r="K116" s="42"/>
      <c r="L116" s="43"/>
      <c r="M116" s="25"/>
    </row>
    <row r="117" ht="10.5" hidden="1" customHeight="1">
      <c r="A117" s="46" t="s">
        <v>38</v>
      </c>
      <c r="B117" s="49" t="s">
        <v>49</v>
      </c>
      <c r="C117" s="48"/>
      <c r="D117" s="38"/>
      <c r="E117" s="38"/>
      <c r="F117" s="40"/>
      <c r="G117" s="40"/>
      <c r="H117" s="38"/>
      <c r="I117" s="25"/>
      <c r="J117" s="41"/>
      <c r="K117" s="42"/>
      <c r="L117" s="43"/>
      <c r="M117" s="25"/>
    </row>
    <row r="118" ht="10.5" hidden="1" customHeight="1">
      <c r="A118" s="46" t="s">
        <v>26</v>
      </c>
      <c r="B118" s="49" t="s">
        <v>51</v>
      </c>
      <c r="C118" s="48"/>
      <c r="D118" s="38"/>
      <c r="E118" s="38"/>
      <c r="F118" s="40"/>
      <c r="G118" s="40"/>
      <c r="H118" s="38"/>
      <c r="I118" s="25"/>
      <c r="J118" s="41"/>
      <c r="K118" s="42"/>
      <c r="L118" s="43"/>
      <c r="M118" s="25"/>
    </row>
    <row r="119" ht="10.5" hidden="1" customHeight="1">
      <c r="A119" s="46" t="s">
        <v>28</v>
      </c>
      <c r="B119" s="49" t="s">
        <v>51</v>
      </c>
      <c r="C119" s="48"/>
      <c r="D119" s="38"/>
      <c r="E119" s="38"/>
      <c r="F119" s="40"/>
      <c r="G119" s="40"/>
      <c r="H119" s="38"/>
      <c r="I119" s="25"/>
      <c r="J119" s="41"/>
      <c r="K119" s="42"/>
      <c r="L119" s="43"/>
      <c r="M119" s="25"/>
    </row>
    <row r="120" ht="10.5" hidden="1" customHeight="1">
      <c r="A120" s="46" t="s">
        <v>29</v>
      </c>
      <c r="B120" s="49" t="s">
        <v>51</v>
      </c>
      <c r="C120" s="48"/>
      <c r="D120" s="38"/>
      <c r="E120" s="38"/>
      <c r="F120" s="40"/>
      <c r="G120" s="40"/>
      <c r="H120" s="38"/>
      <c r="I120" s="25"/>
      <c r="J120" s="41"/>
      <c r="K120" s="42"/>
      <c r="L120" s="43"/>
      <c r="M120" s="25"/>
    </row>
    <row r="121" ht="10.5" hidden="1" customHeight="1">
      <c r="A121" s="46" t="s">
        <v>30</v>
      </c>
      <c r="B121" s="49" t="s">
        <v>51</v>
      </c>
      <c r="C121" s="48"/>
      <c r="D121" s="38"/>
      <c r="E121" s="38"/>
      <c r="F121" s="40"/>
      <c r="G121" s="40"/>
      <c r="H121" s="38"/>
      <c r="I121" s="25"/>
      <c r="J121" s="41"/>
      <c r="K121" s="42"/>
      <c r="L121" s="43"/>
      <c r="M121" s="25"/>
    </row>
    <row r="122" ht="10.5" hidden="1" customHeight="1">
      <c r="A122" s="46" t="s">
        <v>31</v>
      </c>
      <c r="B122" s="49" t="s">
        <v>51</v>
      </c>
      <c r="C122" s="48"/>
      <c r="D122" s="38"/>
      <c r="E122" s="38"/>
      <c r="F122" s="40"/>
      <c r="G122" s="40"/>
      <c r="H122" s="38"/>
      <c r="I122" s="25"/>
      <c r="J122" s="41"/>
      <c r="K122" s="42"/>
      <c r="L122" s="43"/>
      <c r="M122" s="25"/>
    </row>
    <row r="123" ht="10.5" hidden="1" customHeight="1">
      <c r="A123" s="46" t="s">
        <v>32</v>
      </c>
      <c r="B123" s="49" t="s">
        <v>51</v>
      </c>
      <c r="C123" s="48"/>
      <c r="D123" s="38"/>
      <c r="E123" s="38"/>
      <c r="F123" s="40"/>
      <c r="G123" s="40"/>
      <c r="H123" s="38"/>
      <c r="I123" s="25"/>
      <c r="J123" s="41"/>
      <c r="K123" s="42"/>
      <c r="L123" s="43"/>
      <c r="M123" s="25"/>
    </row>
    <row r="124" ht="10.5" hidden="1" customHeight="1">
      <c r="A124" s="46" t="s">
        <v>33</v>
      </c>
      <c r="B124" s="49" t="s">
        <v>51</v>
      </c>
      <c r="C124" s="48"/>
      <c r="D124" s="38"/>
      <c r="E124" s="38"/>
      <c r="F124" s="40"/>
      <c r="G124" s="40"/>
      <c r="H124" s="38"/>
      <c r="I124" s="25"/>
      <c r="J124" s="41"/>
      <c r="K124" s="42"/>
      <c r="L124" s="43"/>
      <c r="M124" s="25"/>
    </row>
    <row r="125" ht="10.5" hidden="1" customHeight="1">
      <c r="A125" s="50" t="s">
        <v>44</v>
      </c>
      <c r="B125" s="49" t="s">
        <v>51</v>
      </c>
      <c r="C125" s="48"/>
      <c r="D125" s="38"/>
      <c r="E125" s="38"/>
      <c r="F125" s="45"/>
      <c r="G125" s="40"/>
      <c r="H125" s="38"/>
      <c r="I125" s="25"/>
      <c r="J125" s="41"/>
      <c r="K125" s="42"/>
      <c r="L125" s="43"/>
      <c r="M125" s="25"/>
      <c r="N125" s="51" t="str">
        <f>#REF!+1</f>
        <v>#REF!</v>
      </c>
    </row>
    <row r="126" ht="10.5" hidden="1" customHeight="1">
      <c r="A126" s="50" t="s">
        <v>52</v>
      </c>
      <c r="B126" s="49" t="s">
        <v>51</v>
      </c>
      <c r="C126" s="48"/>
      <c r="D126" s="38"/>
      <c r="E126" s="38"/>
      <c r="F126" s="45"/>
      <c r="G126" s="40"/>
      <c r="H126" s="38"/>
      <c r="I126" s="25"/>
      <c r="J126" s="41"/>
      <c r="K126" s="45"/>
      <c r="L126" s="43"/>
      <c r="M126" s="25"/>
      <c r="N126" s="51" t="str">
        <f t="shared" ref="N126:N139" si="1">N125+1</f>
        <v>#REF!</v>
      </c>
    </row>
    <row r="127" ht="10.5" hidden="1" customHeight="1">
      <c r="A127" s="50" t="s">
        <v>53</v>
      </c>
      <c r="B127" s="49" t="s">
        <v>51</v>
      </c>
      <c r="C127" s="48"/>
      <c r="D127" s="38"/>
      <c r="E127" s="38"/>
      <c r="F127" s="45"/>
      <c r="G127" s="40"/>
      <c r="H127" s="38"/>
      <c r="I127" s="25"/>
      <c r="J127" s="41"/>
      <c r="K127" s="45"/>
      <c r="L127" s="43"/>
      <c r="M127" s="25"/>
      <c r="N127" s="51" t="str">
        <f t="shared" si="1"/>
        <v>#REF!</v>
      </c>
    </row>
    <row r="128" ht="10.5" hidden="1" customHeight="1">
      <c r="A128" s="50" t="s">
        <v>37</v>
      </c>
      <c r="B128" s="49" t="s">
        <v>51</v>
      </c>
      <c r="C128" s="48"/>
      <c r="D128" s="38"/>
      <c r="E128" s="38"/>
      <c r="F128" s="45"/>
      <c r="G128" s="40"/>
      <c r="H128" s="38"/>
      <c r="I128" s="25"/>
      <c r="J128" s="41"/>
      <c r="K128" s="45"/>
      <c r="L128" s="43"/>
      <c r="M128" s="25"/>
      <c r="N128" s="51" t="str">
        <f t="shared" si="1"/>
        <v>#REF!</v>
      </c>
    </row>
    <row r="129" ht="10.5" hidden="1" customHeight="1">
      <c r="A129" s="50" t="s">
        <v>45</v>
      </c>
      <c r="B129" s="49" t="s">
        <v>51</v>
      </c>
      <c r="C129" s="48"/>
      <c r="D129" s="38"/>
      <c r="E129" s="38"/>
      <c r="F129" s="45"/>
      <c r="G129" s="40"/>
      <c r="H129" s="38"/>
      <c r="I129" s="25"/>
      <c r="J129" s="41"/>
      <c r="K129" s="45"/>
      <c r="L129" s="43"/>
      <c r="M129" s="25"/>
      <c r="N129" s="51" t="str">
        <f t="shared" si="1"/>
        <v>#REF!</v>
      </c>
    </row>
    <row r="130" ht="10.5" hidden="1" customHeight="1">
      <c r="A130" s="50" t="s">
        <v>26</v>
      </c>
      <c r="B130" s="49" t="s">
        <v>54</v>
      </c>
      <c r="C130" s="48"/>
      <c r="D130" s="38"/>
      <c r="E130" s="38"/>
      <c r="F130" s="45"/>
      <c r="G130" s="40"/>
      <c r="H130" s="38"/>
      <c r="I130" s="25"/>
      <c r="J130" s="41"/>
      <c r="K130" s="45"/>
      <c r="L130" s="43"/>
      <c r="M130" s="25"/>
      <c r="N130" s="51" t="str">
        <f t="shared" si="1"/>
        <v>#REF!</v>
      </c>
    </row>
    <row r="131" ht="10.5" hidden="1" customHeight="1">
      <c r="A131" s="50" t="s">
        <v>55</v>
      </c>
      <c r="B131" s="49" t="s">
        <v>54</v>
      </c>
      <c r="C131" s="48"/>
      <c r="D131" s="38"/>
      <c r="E131" s="38"/>
      <c r="F131" s="45"/>
      <c r="G131" s="40"/>
      <c r="H131" s="38"/>
      <c r="I131" s="25"/>
      <c r="J131" s="41"/>
      <c r="K131" s="45"/>
      <c r="L131" s="43"/>
      <c r="M131" s="25"/>
      <c r="N131" s="51" t="str">
        <f t="shared" si="1"/>
        <v>#REF!</v>
      </c>
    </row>
    <row r="132" ht="10.5" hidden="1" customHeight="1">
      <c r="A132" s="50" t="s">
        <v>50</v>
      </c>
      <c r="B132" s="49" t="s">
        <v>54</v>
      </c>
      <c r="C132" s="48"/>
      <c r="D132" s="38"/>
      <c r="E132" s="38"/>
      <c r="F132" s="45"/>
      <c r="G132" s="40"/>
      <c r="H132" s="38"/>
      <c r="I132" s="25"/>
      <c r="J132" s="41"/>
      <c r="K132" s="45"/>
      <c r="L132" s="43"/>
      <c r="M132" s="25"/>
      <c r="N132" s="51" t="str">
        <f t="shared" si="1"/>
        <v>#REF!</v>
      </c>
    </row>
    <row r="133" ht="10.5" hidden="1" customHeight="1">
      <c r="A133" s="50" t="s">
        <v>56</v>
      </c>
      <c r="B133" s="49" t="s">
        <v>54</v>
      </c>
      <c r="C133" s="48"/>
      <c r="D133" s="38"/>
      <c r="E133" s="38"/>
      <c r="F133" s="45"/>
      <c r="G133" s="40"/>
      <c r="H133" s="38"/>
      <c r="I133" s="25"/>
      <c r="J133" s="41"/>
      <c r="K133" s="45"/>
      <c r="L133" s="43"/>
      <c r="M133" s="25"/>
      <c r="N133" s="51" t="str">
        <f t="shared" si="1"/>
        <v>#REF!</v>
      </c>
    </row>
    <row r="134" ht="10.5" hidden="1" customHeight="1">
      <c r="A134" s="50" t="s">
        <v>41</v>
      </c>
      <c r="B134" s="49" t="s">
        <v>54</v>
      </c>
      <c r="C134" s="48"/>
      <c r="D134" s="38"/>
      <c r="E134" s="38"/>
      <c r="F134" s="45"/>
      <c r="G134" s="40"/>
      <c r="H134" s="38"/>
      <c r="I134" s="25"/>
      <c r="J134" s="41"/>
      <c r="K134" s="45"/>
      <c r="L134" s="43"/>
      <c r="M134" s="25"/>
      <c r="N134" s="51" t="str">
        <f t="shared" si="1"/>
        <v>#REF!</v>
      </c>
    </row>
    <row r="135" ht="10.5" hidden="1" customHeight="1">
      <c r="A135" s="50" t="s">
        <v>57</v>
      </c>
      <c r="B135" s="49" t="s">
        <v>54</v>
      </c>
      <c r="C135" s="48"/>
      <c r="D135" s="38"/>
      <c r="E135" s="38"/>
      <c r="F135" s="45"/>
      <c r="G135" s="40"/>
      <c r="H135" s="38"/>
      <c r="I135" s="25"/>
      <c r="J135" s="41"/>
      <c r="K135" s="45"/>
      <c r="L135" s="43"/>
      <c r="M135" s="25"/>
      <c r="N135" s="51" t="str">
        <f t="shared" si="1"/>
        <v>#REF!</v>
      </c>
    </row>
    <row r="136" ht="10.5" hidden="1" customHeight="1">
      <c r="A136" s="50" t="s">
        <v>58</v>
      </c>
      <c r="B136" s="49" t="s">
        <v>54</v>
      </c>
      <c r="C136" s="48"/>
      <c r="D136" s="38"/>
      <c r="E136" s="38"/>
      <c r="F136" s="45"/>
      <c r="G136" s="40"/>
      <c r="H136" s="38"/>
      <c r="I136" s="25"/>
      <c r="J136" s="41"/>
      <c r="K136" s="45"/>
      <c r="L136" s="43"/>
      <c r="M136" s="25"/>
      <c r="N136" s="51" t="str">
        <f t="shared" si="1"/>
        <v>#REF!</v>
      </c>
    </row>
    <row r="137" ht="10.5" hidden="1" customHeight="1">
      <c r="A137" s="50" t="s">
        <v>44</v>
      </c>
      <c r="B137" s="49">
        <f t="shared" ref="B137:B159" si="2">B125+1</f>
        <v>2019</v>
      </c>
      <c r="C137" s="48"/>
      <c r="D137" s="38"/>
      <c r="E137" s="38"/>
      <c r="F137" s="45"/>
      <c r="G137" s="40"/>
      <c r="H137" s="38"/>
      <c r="I137" s="25"/>
      <c r="J137" s="41"/>
      <c r="K137" s="45"/>
      <c r="L137" s="43"/>
      <c r="M137" s="25"/>
      <c r="N137" s="51" t="str">
        <f t="shared" si="1"/>
        <v>#REF!</v>
      </c>
    </row>
    <row r="138" ht="10.5" hidden="1" customHeight="1">
      <c r="A138" s="50" t="s">
        <v>52</v>
      </c>
      <c r="B138" s="49">
        <f t="shared" si="2"/>
        <v>2019</v>
      </c>
      <c r="C138" s="48"/>
      <c r="D138" s="38"/>
      <c r="E138" s="38"/>
      <c r="F138" s="45"/>
      <c r="G138" s="40"/>
      <c r="H138" s="38"/>
      <c r="I138" s="25"/>
      <c r="J138" s="41"/>
      <c r="K138" s="45"/>
      <c r="L138" s="43"/>
      <c r="M138" s="25"/>
      <c r="N138" s="51" t="str">
        <f t="shared" si="1"/>
        <v>#REF!</v>
      </c>
    </row>
    <row r="139" ht="10.5" hidden="1" customHeight="1">
      <c r="A139" s="50" t="s">
        <v>53</v>
      </c>
      <c r="B139" s="49">
        <f t="shared" si="2"/>
        <v>2019</v>
      </c>
      <c r="C139" s="48"/>
      <c r="D139" s="38"/>
      <c r="E139" s="38"/>
      <c r="F139" s="45"/>
      <c r="G139" s="40"/>
      <c r="H139" s="38"/>
      <c r="I139" s="25"/>
      <c r="J139" s="41"/>
      <c r="K139" s="45"/>
      <c r="L139" s="43"/>
      <c r="M139" s="25"/>
      <c r="N139" s="51" t="str">
        <f t="shared" si="1"/>
        <v>#REF!</v>
      </c>
    </row>
    <row r="140" ht="10.5" hidden="1" customHeight="1">
      <c r="A140" s="50" t="s">
        <v>37</v>
      </c>
      <c r="B140" s="49">
        <f t="shared" si="2"/>
        <v>2019</v>
      </c>
      <c r="C140" s="48"/>
      <c r="D140" s="38"/>
      <c r="E140" s="38"/>
      <c r="F140" s="45"/>
      <c r="G140" s="40"/>
      <c r="H140" s="38"/>
      <c r="I140" s="25"/>
      <c r="J140" s="41"/>
      <c r="K140" s="45"/>
      <c r="L140" s="43"/>
      <c r="M140" s="25"/>
    </row>
    <row r="141" ht="10.5" hidden="1" customHeight="1">
      <c r="A141" s="50" t="s">
        <v>45</v>
      </c>
      <c r="B141" s="49">
        <f t="shared" si="2"/>
        <v>2019</v>
      </c>
      <c r="C141" s="48"/>
      <c r="D141" s="38"/>
      <c r="E141" s="38"/>
      <c r="F141" s="45"/>
      <c r="G141" s="40"/>
      <c r="H141" s="38"/>
      <c r="I141" s="25"/>
      <c r="J141" s="41"/>
      <c r="K141" s="45"/>
      <c r="L141" s="43"/>
      <c r="M141" s="25"/>
    </row>
    <row r="142" ht="10.5" hidden="1" customHeight="1">
      <c r="A142" s="50" t="s">
        <v>26</v>
      </c>
      <c r="B142" s="49">
        <f t="shared" si="2"/>
        <v>2020</v>
      </c>
      <c r="C142" s="48"/>
      <c r="D142" s="38"/>
      <c r="E142" s="38"/>
      <c r="F142" s="45"/>
      <c r="G142" s="40"/>
      <c r="H142" s="38"/>
      <c r="I142" s="25"/>
      <c r="J142" s="41"/>
      <c r="K142" s="45"/>
      <c r="L142" s="43"/>
      <c r="M142" s="25"/>
    </row>
    <row r="143" ht="10.5" hidden="1" customHeight="1">
      <c r="A143" s="50" t="s">
        <v>55</v>
      </c>
      <c r="B143" s="49">
        <f t="shared" si="2"/>
        <v>2020</v>
      </c>
      <c r="C143" s="48"/>
      <c r="D143" s="38"/>
      <c r="E143" s="38"/>
      <c r="F143" s="45"/>
      <c r="G143" s="40"/>
      <c r="H143" s="38"/>
      <c r="I143" s="25"/>
      <c r="J143" s="41"/>
      <c r="K143" s="45"/>
      <c r="L143" s="43"/>
      <c r="M143" s="25"/>
    </row>
    <row r="144" ht="10.5" hidden="1" customHeight="1">
      <c r="A144" s="50" t="s">
        <v>50</v>
      </c>
      <c r="B144" s="49">
        <f t="shared" si="2"/>
        <v>2020</v>
      </c>
      <c r="C144" s="48"/>
      <c r="D144" s="38"/>
      <c r="E144" s="38"/>
      <c r="F144" s="45"/>
      <c r="G144" s="40"/>
      <c r="H144" s="38"/>
      <c r="I144" s="25"/>
      <c r="J144" s="41"/>
      <c r="K144" s="45"/>
      <c r="L144" s="43"/>
      <c r="M144" s="25"/>
    </row>
    <row r="145" ht="10.5" hidden="1" customHeight="1">
      <c r="A145" s="50" t="s">
        <v>56</v>
      </c>
      <c r="B145" s="49">
        <f t="shared" si="2"/>
        <v>2020</v>
      </c>
      <c r="C145" s="48"/>
      <c r="D145" s="38"/>
      <c r="E145" s="38"/>
      <c r="F145" s="45"/>
      <c r="G145" s="40"/>
      <c r="H145" s="38"/>
      <c r="I145" s="25"/>
      <c r="J145" s="41"/>
      <c r="K145" s="45"/>
      <c r="L145" s="43"/>
      <c r="M145" s="25"/>
    </row>
    <row r="146" ht="10.5" hidden="1" customHeight="1">
      <c r="A146" s="50" t="s">
        <v>41</v>
      </c>
      <c r="B146" s="49">
        <f t="shared" si="2"/>
        <v>2020</v>
      </c>
      <c r="C146" s="48"/>
      <c r="D146" s="38"/>
      <c r="E146" s="38"/>
      <c r="F146" s="45"/>
      <c r="G146" s="40"/>
      <c r="H146" s="38"/>
      <c r="I146" s="25"/>
      <c r="J146" s="41"/>
      <c r="K146" s="45"/>
      <c r="L146" s="43"/>
      <c r="M146" s="25"/>
    </row>
    <row r="147" ht="10.5" hidden="1" customHeight="1">
      <c r="A147" s="50" t="s">
        <v>57</v>
      </c>
      <c r="B147" s="49">
        <f t="shared" si="2"/>
        <v>2020</v>
      </c>
      <c r="C147" s="48"/>
      <c r="D147" s="38"/>
      <c r="E147" s="38"/>
      <c r="F147" s="45"/>
      <c r="G147" s="40"/>
      <c r="H147" s="38"/>
      <c r="I147" s="25"/>
      <c r="J147" s="41"/>
      <c r="K147" s="45"/>
      <c r="L147" s="43"/>
      <c r="M147" s="25"/>
    </row>
    <row r="148" ht="10.5" hidden="1" customHeight="1">
      <c r="A148" s="50" t="s">
        <v>58</v>
      </c>
      <c r="B148" s="49">
        <f t="shared" si="2"/>
        <v>2020</v>
      </c>
      <c r="C148" s="48"/>
      <c r="D148" s="38"/>
      <c r="E148" s="38"/>
      <c r="F148" s="45"/>
      <c r="G148" s="40"/>
      <c r="H148" s="38"/>
      <c r="I148" s="25"/>
      <c r="J148" s="41"/>
      <c r="K148" s="45"/>
      <c r="L148" s="43"/>
      <c r="M148" s="25"/>
    </row>
    <row r="149" ht="10.5" hidden="1" customHeight="1">
      <c r="A149" s="50" t="s">
        <v>44</v>
      </c>
      <c r="B149" s="49">
        <f t="shared" si="2"/>
        <v>2020</v>
      </c>
      <c r="C149" s="48"/>
      <c r="D149" s="38"/>
      <c r="E149" s="38"/>
      <c r="F149" s="45"/>
      <c r="G149" s="40"/>
      <c r="H149" s="38"/>
      <c r="I149" s="25"/>
      <c r="J149" s="41"/>
      <c r="K149" s="45"/>
      <c r="L149" s="43"/>
      <c r="M149" s="25"/>
    </row>
    <row r="150" ht="10.5" hidden="1" customHeight="1">
      <c r="A150" s="50" t="s">
        <v>52</v>
      </c>
      <c r="B150" s="49">
        <f t="shared" si="2"/>
        <v>2020</v>
      </c>
      <c r="C150" s="48"/>
      <c r="D150" s="38"/>
      <c r="E150" s="38"/>
      <c r="F150" s="45"/>
      <c r="G150" s="40"/>
      <c r="H150" s="38"/>
      <c r="I150" s="25"/>
      <c r="J150" s="41"/>
      <c r="K150" s="45"/>
      <c r="L150" s="43"/>
      <c r="M150" s="25"/>
    </row>
    <row r="151" ht="10.5" hidden="1" customHeight="1">
      <c r="A151" s="50" t="s">
        <v>53</v>
      </c>
      <c r="B151" s="49">
        <f t="shared" si="2"/>
        <v>2020</v>
      </c>
      <c r="C151" s="48"/>
      <c r="D151" s="38"/>
      <c r="E151" s="38"/>
      <c r="F151" s="45"/>
      <c r="G151" s="40"/>
      <c r="H151" s="38"/>
      <c r="I151" s="25"/>
      <c r="J151" s="41"/>
      <c r="K151" s="45"/>
      <c r="L151" s="43"/>
      <c r="M151" s="25"/>
    </row>
    <row r="152" ht="10.5" hidden="1" customHeight="1">
      <c r="A152" s="50" t="s">
        <v>37</v>
      </c>
      <c r="B152" s="49">
        <f t="shared" si="2"/>
        <v>2020</v>
      </c>
      <c r="C152" s="48"/>
      <c r="D152" s="38"/>
      <c r="E152" s="38"/>
      <c r="F152" s="45"/>
      <c r="G152" s="40"/>
      <c r="H152" s="38"/>
      <c r="I152" s="25"/>
      <c r="J152" s="41"/>
      <c r="K152" s="45"/>
      <c r="L152" s="43"/>
      <c r="M152" s="25"/>
    </row>
    <row r="153" ht="10.5" hidden="1" customHeight="1">
      <c r="A153" s="50" t="s">
        <v>45</v>
      </c>
      <c r="B153" s="49">
        <f t="shared" si="2"/>
        <v>2020</v>
      </c>
      <c r="C153" s="48"/>
      <c r="D153" s="38"/>
      <c r="E153" s="38"/>
      <c r="F153" s="45"/>
      <c r="G153" s="40"/>
      <c r="H153" s="38"/>
      <c r="I153" s="25"/>
      <c r="J153" s="41"/>
      <c r="K153" s="45"/>
      <c r="L153" s="43"/>
      <c r="M153" s="25"/>
    </row>
    <row r="154" ht="2.25" hidden="1" customHeight="1">
      <c r="A154" s="50" t="s">
        <v>26</v>
      </c>
      <c r="B154" s="49">
        <f t="shared" si="2"/>
        <v>2021</v>
      </c>
      <c r="C154" s="48"/>
      <c r="D154" s="38"/>
      <c r="E154" s="38"/>
      <c r="F154" s="45"/>
      <c r="G154" s="40"/>
      <c r="H154" s="38"/>
      <c r="I154" s="38"/>
      <c r="J154" s="41"/>
      <c r="K154" s="52"/>
      <c r="L154" s="43"/>
      <c r="M154" s="38"/>
    </row>
    <row r="155" ht="24.0" hidden="1" customHeight="1">
      <c r="A155" s="50" t="s">
        <v>55</v>
      </c>
      <c r="B155" s="49">
        <f t="shared" si="2"/>
        <v>2021</v>
      </c>
      <c r="C155" s="48"/>
      <c r="D155" s="38"/>
      <c r="E155" s="38"/>
      <c r="F155" s="45"/>
      <c r="G155" s="40"/>
      <c r="H155" s="38"/>
      <c r="I155" s="38"/>
      <c r="J155" s="41"/>
      <c r="K155" s="52"/>
      <c r="L155" s="43"/>
      <c r="M155" s="38"/>
    </row>
    <row r="156" ht="13.5" hidden="1" customHeight="1">
      <c r="A156" s="50" t="s">
        <v>50</v>
      </c>
      <c r="B156" s="49">
        <f t="shared" si="2"/>
        <v>2021</v>
      </c>
      <c r="C156" s="48"/>
      <c r="D156" s="38"/>
      <c r="E156" s="38"/>
      <c r="F156" s="45"/>
      <c r="G156" s="40"/>
      <c r="H156" s="38"/>
      <c r="I156" s="38"/>
      <c r="J156" s="41"/>
      <c r="K156" s="52"/>
      <c r="L156" s="43"/>
      <c r="M156" s="38"/>
    </row>
    <row r="157" ht="33.75" hidden="1" customHeight="1">
      <c r="A157" s="50" t="s">
        <v>56</v>
      </c>
      <c r="B157" s="49">
        <f t="shared" si="2"/>
        <v>2021</v>
      </c>
      <c r="C157" s="48"/>
      <c r="D157" s="38"/>
      <c r="E157" s="38"/>
      <c r="F157" s="45"/>
      <c r="G157" s="40"/>
      <c r="H157" s="38"/>
      <c r="I157" s="38"/>
      <c r="J157" s="41"/>
      <c r="K157" s="52"/>
      <c r="L157" s="43"/>
      <c r="M157" s="38"/>
    </row>
    <row r="158" ht="36.75" hidden="1" customHeight="1">
      <c r="A158" s="50" t="s">
        <v>41</v>
      </c>
      <c r="B158" s="49">
        <f t="shared" si="2"/>
        <v>2021</v>
      </c>
      <c r="C158" s="48"/>
      <c r="D158" s="38"/>
      <c r="E158" s="38"/>
      <c r="F158" s="45"/>
      <c r="G158" s="40"/>
      <c r="H158" s="38"/>
      <c r="I158" s="38"/>
      <c r="J158" s="41"/>
      <c r="K158" s="52"/>
      <c r="L158" s="43"/>
      <c r="M158" s="38"/>
    </row>
    <row r="159" ht="38.25" hidden="1" customHeight="1">
      <c r="A159" s="50" t="s">
        <v>57</v>
      </c>
      <c r="B159" s="49">
        <f t="shared" si="2"/>
        <v>2021</v>
      </c>
      <c r="C159" s="48"/>
      <c r="D159" s="38"/>
      <c r="E159" s="38"/>
      <c r="F159" s="45"/>
      <c r="G159" s="40"/>
      <c r="H159" s="38"/>
      <c r="I159" s="38"/>
      <c r="J159" s="41"/>
      <c r="K159" s="52"/>
      <c r="L159" s="43"/>
      <c r="M159" s="38"/>
    </row>
    <row r="160" ht="10.5" customHeight="1">
      <c r="A160" s="50" t="s">
        <v>37</v>
      </c>
      <c r="B160" s="49">
        <f t="shared" ref="B160:B161" si="3">B151+1</f>
        <v>2021</v>
      </c>
      <c r="C160" s="48"/>
      <c r="D160" s="38">
        <f t="shared" ref="D160:D203" si="4">ROUND(F160*E160,2)</f>
        <v>352.17</v>
      </c>
      <c r="E160" s="38">
        <v>67.08</v>
      </c>
      <c r="F160" s="53" t="s">
        <v>59</v>
      </c>
      <c r="G160" s="40"/>
      <c r="H160" s="38">
        <f t="shared" ref="H160:H185" si="5">(I160*0.03/365*J160)</f>
        <v>1.736728767</v>
      </c>
      <c r="I160" s="38">
        <f>I9+D160-C160</f>
        <v>704.34</v>
      </c>
      <c r="J160" s="54">
        <v>30.0</v>
      </c>
      <c r="K160" s="52">
        <v>100.8</v>
      </c>
      <c r="L160" s="43">
        <v>1.0</v>
      </c>
      <c r="M160" s="38">
        <f t="shared" ref="M160:M203" si="6">I160*L160-I160</f>
        <v>0</v>
      </c>
    </row>
    <row r="161" ht="10.5" customHeight="1">
      <c r="A161" s="50" t="s">
        <v>45</v>
      </c>
      <c r="B161" s="49">
        <f t="shared" si="3"/>
        <v>2021</v>
      </c>
      <c r="C161" s="48"/>
      <c r="D161" s="38">
        <f t="shared" si="4"/>
        <v>352.17</v>
      </c>
      <c r="E161" s="38">
        <v>67.08</v>
      </c>
      <c r="F161" s="53" t="s">
        <v>59</v>
      </c>
      <c r="G161" s="40"/>
      <c r="H161" s="38">
        <f t="shared" si="5"/>
        <v>2.691929589</v>
      </c>
      <c r="I161" s="38">
        <f t="shared" ref="I161:I203" si="7">I160+D161-C161</f>
        <v>1056.51</v>
      </c>
      <c r="J161" s="54">
        <v>31.0</v>
      </c>
      <c r="K161" s="52">
        <v>100.6</v>
      </c>
      <c r="L161" s="43">
        <f t="shared" ref="L161:L203" si="8">K161/100*L160</f>
        <v>1.006</v>
      </c>
      <c r="M161" s="38">
        <f t="shared" si="6"/>
        <v>6.33906</v>
      </c>
    </row>
    <row r="162" ht="10.5" customHeight="1">
      <c r="A162" s="55" t="s">
        <v>26</v>
      </c>
      <c r="B162" s="49">
        <f t="shared" ref="B162:B164" si="9">B157+1</f>
        <v>2022</v>
      </c>
      <c r="C162" s="48"/>
      <c r="D162" s="38">
        <f t="shared" si="4"/>
        <v>352.17</v>
      </c>
      <c r="E162" s="38">
        <v>67.08</v>
      </c>
      <c r="F162" s="53" t="s">
        <v>59</v>
      </c>
      <c r="G162" s="40"/>
      <c r="H162" s="38">
        <f t="shared" si="5"/>
        <v>3.589239452</v>
      </c>
      <c r="I162" s="38">
        <f t="shared" si="7"/>
        <v>1408.68</v>
      </c>
      <c r="J162" s="56">
        <v>31.0</v>
      </c>
      <c r="K162" s="52">
        <v>101.3</v>
      </c>
      <c r="L162" s="43">
        <f t="shared" si="8"/>
        <v>1.019078</v>
      </c>
      <c r="M162" s="38">
        <f t="shared" si="6"/>
        <v>26.87479704</v>
      </c>
    </row>
    <row r="163" ht="10.5" customHeight="1">
      <c r="A163" s="55" t="s">
        <v>55</v>
      </c>
      <c r="B163" s="49">
        <f t="shared" si="9"/>
        <v>2022</v>
      </c>
      <c r="C163" s="48"/>
      <c r="D163" s="38">
        <f t="shared" si="4"/>
        <v>352.17</v>
      </c>
      <c r="E163" s="38">
        <v>67.08</v>
      </c>
      <c r="F163" s="53" t="s">
        <v>59</v>
      </c>
      <c r="G163" s="40"/>
      <c r="H163" s="38">
        <f t="shared" si="5"/>
        <v>4.052367123</v>
      </c>
      <c r="I163" s="38">
        <f t="shared" si="7"/>
        <v>1760.85</v>
      </c>
      <c r="J163" s="56">
        <v>28.0</v>
      </c>
      <c r="K163" s="52">
        <v>101.6</v>
      </c>
      <c r="L163" s="43">
        <f t="shared" si="8"/>
        <v>1.035383248</v>
      </c>
      <c r="M163" s="38">
        <f t="shared" si="6"/>
        <v>62.30459224</v>
      </c>
    </row>
    <row r="164" ht="10.5" customHeight="1">
      <c r="A164" s="55" t="s">
        <v>50</v>
      </c>
      <c r="B164" s="49">
        <f t="shared" si="9"/>
        <v>2022</v>
      </c>
      <c r="C164" s="48"/>
      <c r="D164" s="38">
        <f t="shared" si="4"/>
        <v>352.17</v>
      </c>
      <c r="E164" s="38">
        <v>67.08</v>
      </c>
      <c r="F164" s="53" t="s">
        <v>59</v>
      </c>
      <c r="G164" s="40"/>
      <c r="H164" s="38">
        <f t="shared" si="5"/>
        <v>5.383859178</v>
      </c>
      <c r="I164" s="38">
        <f t="shared" si="7"/>
        <v>2113.02</v>
      </c>
      <c r="J164" s="56">
        <v>31.0</v>
      </c>
      <c r="K164" s="52">
        <v>104.5</v>
      </c>
      <c r="L164" s="43">
        <f t="shared" si="8"/>
        <v>1.081975494</v>
      </c>
      <c r="M164" s="38">
        <f t="shared" si="6"/>
        <v>173.2158587</v>
      </c>
    </row>
    <row r="165" ht="10.5" customHeight="1">
      <c r="A165" s="55" t="s">
        <v>56</v>
      </c>
      <c r="B165" s="49" t="s">
        <v>60</v>
      </c>
      <c r="C165" s="48"/>
      <c r="D165" s="38">
        <f t="shared" si="4"/>
        <v>352.17</v>
      </c>
      <c r="E165" s="38">
        <v>67.08</v>
      </c>
      <c r="F165" s="53" t="s">
        <v>59</v>
      </c>
      <c r="G165" s="40"/>
      <c r="H165" s="38">
        <f t="shared" si="5"/>
        <v>6.078550685</v>
      </c>
      <c r="I165" s="38">
        <f t="shared" si="7"/>
        <v>2465.19</v>
      </c>
      <c r="J165" s="56">
        <v>30.0</v>
      </c>
      <c r="K165" s="52">
        <v>103.1</v>
      </c>
      <c r="L165" s="43">
        <f t="shared" si="8"/>
        <v>1.115516734</v>
      </c>
      <c r="M165" s="38">
        <f t="shared" si="6"/>
        <v>284.7706987</v>
      </c>
    </row>
    <row r="166" ht="10.5" customHeight="1">
      <c r="A166" s="55" t="s">
        <v>41</v>
      </c>
      <c r="B166" s="49" t="s">
        <v>60</v>
      </c>
      <c r="C166" s="48"/>
      <c r="D166" s="38">
        <f t="shared" si="4"/>
        <v>352.17</v>
      </c>
      <c r="E166" s="38">
        <v>67.08</v>
      </c>
      <c r="F166" s="53" t="s">
        <v>59</v>
      </c>
      <c r="G166" s="40"/>
      <c r="H166" s="38">
        <f t="shared" si="5"/>
        <v>7.178478904</v>
      </c>
      <c r="I166" s="38">
        <f t="shared" si="7"/>
        <v>2817.36</v>
      </c>
      <c r="J166" s="56">
        <v>31.0</v>
      </c>
      <c r="K166" s="52">
        <v>102.7</v>
      </c>
      <c r="L166" s="43">
        <f t="shared" si="8"/>
        <v>1.145635686</v>
      </c>
      <c r="M166" s="38">
        <f t="shared" si="6"/>
        <v>410.3081572</v>
      </c>
    </row>
    <row r="167" ht="10.5" customHeight="1">
      <c r="A167" s="55" t="s">
        <v>57</v>
      </c>
      <c r="B167" s="49" t="s">
        <v>60</v>
      </c>
      <c r="C167" s="48"/>
      <c r="D167" s="38">
        <f t="shared" si="4"/>
        <v>352.17</v>
      </c>
      <c r="E167" s="38">
        <v>67.08</v>
      </c>
      <c r="F167" s="53" t="s">
        <v>59</v>
      </c>
      <c r="G167" s="40"/>
      <c r="H167" s="38">
        <f t="shared" si="5"/>
        <v>7.815279452</v>
      </c>
      <c r="I167" s="38">
        <f t="shared" si="7"/>
        <v>3169.53</v>
      </c>
      <c r="J167" s="56">
        <v>30.0</v>
      </c>
      <c r="K167" s="52">
        <v>103.1</v>
      </c>
      <c r="L167" s="43">
        <f t="shared" si="8"/>
        <v>1.181150393</v>
      </c>
      <c r="M167" s="38">
        <f t="shared" si="6"/>
        <v>574.1616038</v>
      </c>
    </row>
    <row r="168" ht="10.5" customHeight="1">
      <c r="A168" s="55" t="s">
        <v>58</v>
      </c>
      <c r="B168" s="49">
        <f t="shared" ref="B168:B169" si="10">B160+1</f>
        <v>2022</v>
      </c>
      <c r="C168" s="48"/>
      <c r="D168" s="38">
        <f t="shared" si="4"/>
        <v>352.17</v>
      </c>
      <c r="E168" s="38">
        <v>67.08</v>
      </c>
      <c r="F168" s="53" t="s">
        <v>59</v>
      </c>
      <c r="G168" s="40"/>
      <c r="H168" s="38">
        <f t="shared" si="5"/>
        <v>8.97309863</v>
      </c>
      <c r="I168" s="38">
        <f t="shared" si="7"/>
        <v>3521.7</v>
      </c>
      <c r="J168" s="56">
        <v>31.0</v>
      </c>
      <c r="K168" s="52">
        <v>100.7</v>
      </c>
      <c r="L168" s="43">
        <f t="shared" si="8"/>
        <v>1.189418445</v>
      </c>
      <c r="M168" s="38">
        <f t="shared" si="6"/>
        <v>667.0749389</v>
      </c>
    </row>
    <row r="169" ht="10.5" customHeight="1">
      <c r="A169" s="55" t="s">
        <v>44</v>
      </c>
      <c r="B169" s="49">
        <f t="shared" si="10"/>
        <v>2022</v>
      </c>
      <c r="C169" s="48"/>
      <c r="D169" s="38">
        <f t="shared" si="4"/>
        <v>352.17</v>
      </c>
      <c r="E169" s="38">
        <v>67.08</v>
      </c>
      <c r="F169" s="53" t="s">
        <v>59</v>
      </c>
      <c r="G169" s="40"/>
      <c r="H169" s="38">
        <f t="shared" si="5"/>
        <v>9.870408493</v>
      </c>
      <c r="I169" s="38">
        <f t="shared" si="7"/>
        <v>3873.87</v>
      </c>
      <c r="J169" s="56">
        <v>31.0</v>
      </c>
      <c r="K169" s="52">
        <v>101.1</v>
      </c>
      <c r="L169" s="43">
        <f t="shared" si="8"/>
        <v>1.202502048</v>
      </c>
      <c r="M169" s="38">
        <f t="shared" si="6"/>
        <v>784.4666096</v>
      </c>
    </row>
    <row r="170" ht="10.5" customHeight="1">
      <c r="A170" s="55" t="s">
        <v>52</v>
      </c>
      <c r="B170" s="49" t="s">
        <v>60</v>
      </c>
      <c r="C170" s="48"/>
      <c r="D170" s="38">
        <f t="shared" si="4"/>
        <v>352.17</v>
      </c>
      <c r="E170" s="38">
        <v>67.08</v>
      </c>
      <c r="F170" s="53" t="s">
        <v>59</v>
      </c>
      <c r="G170" s="40"/>
      <c r="H170" s="38">
        <f t="shared" si="5"/>
        <v>10.4203726</v>
      </c>
      <c r="I170" s="38">
        <f t="shared" si="7"/>
        <v>4226.04</v>
      </c>
      <c r="J170" s="56">
        <v>30.0</v>
      </c>
      <c r="K170" s="52">
        <v>101.9</v>
      </c>
      <c r="L170" s="43">
        <f t="shared" si="8"/>
        <v>1.225349587</v>
      </c>
      <c r="M170" s="38">
        <f t="shared" si="6"/>
        <v>952.3363693</v>
      </c>
    </row>
    <row r="171" ht="10.5" customHeight="1">
      <c r="A171" s="55" t="s">
        <v>53</v>
      </c>
      <c r="B171" s="49" t="s">
        <v>60</v>
      </c>
      <c r="C171" s="48">
        <v>500.0</v>
      </c>
      <c r="D171" s="38">
        <f t="shared" si="4"/>
        <v>352.17</v>
      </c>
      <c r="E171" s="38">
        <v>67.08</v>
      </c>
      <c r="F171" s="53" t="s">
        <v>59</v>
      </c>
      <c r="G171" s="40"/>
      <c r="H171" s="38">
        <f t="shared" si="5"/>
        <v>10.39105562</v>
      </c>
      <c r="I171" s="38">
        <f t="shared" si="7"/>
        <v>4078.21</v>
      </c>
      <c r="J171" s="56">
        <v>31.0</v>
      </c>
      <c r="K171" s="52">
        <v>102.5</v>
      </c>
      <c r="L171" s="43">
        <f t="shared" si="8"/>
        <v>1.255983327</v>
      </c>
      <c r="M171" s="38">
        <f t="shared" si="6"/>
        <v>1043.953763</v>
      </c>
    </row>
    <row r="172" ht="10.5" customHeight="1">
      <c r="A172" s="55" t="s">
        <v>37</v>
      </c>
      <c r="B172" s="49" t="s">
        <v>60</v>
      </c>
      <c r="C172" s="48"/>
      <c r="D172" s="38">
        <f t="shared" si="4"/>
        <v>352.17</v>
      </c>
      <c r="E172" s="38">
        <v>67.08</v>
      </c>
      <c r="F172" s="53" t="s">
        <v>59</v>
      </c>
      <c r="G172" s="40"/>
      <c r="H172" s="38">
        <f t="shared" si="5"/>
        <v>10.92422466</v>
      </c>
      <c r="I172" s="38">
        <f t="shared" si="7"/>
        <v>4430.38</v>
      </c>
      <c r="J172" s="56">
        <v>30.0</v>
      </c>
      <c r="K172" s="52">
        <v>100.7</v>
      </c>
      <c r="L172" s="43">
        <f t="shared" si="8"/>
        <v>1.26477521</v>
      </c>
      <c r="M172" s="38">
        <f t="shared" si="6"/>
        <v>1173.054795</v>
      </c>
    </row>
    <row r="173" ht="10.5" customHeight="1">
      <c r="A173" s="55" t="s">
        <v>45</v>
      </c>
      <c r="B173" s="49" t="s">
        <v>60</v>
      </c>
      <c r="C173" s="48"/>
      <c r="D173" s="38">
        <f t="shared" si="4"/>
        <v>352.17</v>
      </c>
      <c r="E173" s="38">
        <v>67.08</v>
      </c>
      <c r="F173" s="53" t="s">
        <v>59</v>
      </c>
      <c r="G173" s="40"/>
      <c r="H173" s="38">
        <f t="shared" si="5"/>
        <v>12.18567534</v>
      </c>
      <c r="I173" s="38">
        <f t="shared" si="7"/>
        <v>4782.55</v>
      </c>
      <c r="J173" s="56">
        <v>31.0</v>
      </c>
      <c r="K173" s="52">
        <v>100.7</v>
      </c>
      <c r="L173" s="43">
        <f t="shared" si="8"/>
        <v>1.273628637</v>
      </c>
      <c r="M173" s="38">
        <f t="shared" si="6"/>
        <v>1308.642636</v>
      </c>
    </row>
    <row r="174" ht="10.5" customHeight="1">
      <c r="A174" s="55" t="s">
        <v>26</v>
      </c>
      <c r="B174" s="49">
        <f t="shared" ref="B174:B179" si="11">B162+1</f>
        <v>2023</v>
      </c>
      <c r="C174" s="48">
        <v>352.17</v>
      </c>
      <c r="D174" s="38">
        <f t="shared" si="4"/>
        <v>352.17</v>
      </c>
      <c r="E174" s="38">
        <v>67.08</v>
      </c>
      <c r="F174" s="53" t="s">
        <v>59</v>
      </c>
      <c r="G174" s="40"/>
      <c r="H174" s="38">
        <f t="shared" si="5"/>
        <v>12.18567534</v>
      </c>
      <c r="I174" s="38">
        <f t="shared" si="7"/>
        <v>4782.55</v>
      </c>
      <c r="J174" s="56">
        <v>31.0</v>
      </c>
      <c r="K174" s="52">
        <v>100.8</v>
      </c>
      <c r="L174" s="43">
        <f t="shared" si="8"/>
        <v>1.283817666</v>
      </c>
      <c r="M174" s="38">
        <f t="shared" si="6"/>
        <v>1357.372177</v>
      </c>
    </row>
    <row r="175" ht="10.5" customHeight="1">
      <c r="A175" s="55" t="s">
        <v>55</v>
      </c>
      <c r="B175" s="49">
        <f t="shared" si="11"/>
        <v>2023</v>
      </c>
      <c r="C175" s="48"/>
      <c r="D175" s="38">
        <f t="shared" si="4"/>
        <v>352.17</v>
      </c>
      <c r="E175" s="38">
        <v>67.08</v>
      </c>
      <c r="F175" s="53" t="s">
        <v>59</v>
      </c>
      <c r="G175" s="40"/>
      <c r="H175" s="38">
        <f t="shared" si="5"/>
        <v>11.81688986</v>
      </c>
      <c r="I175" s="38">
        <f t="shared" si="7"/>
        <v>5134.72</v>
      </c>
      <c r="J175" s="56">
        <v>28.0</v>
      </c>
      <c r="K175" s="52">
        <v>100.7</v>
      </c>
      <c r="L175" s="43">
        <f t="shared" si="8"/>
        <v>1.292804389</v>
      </c>
      <c r="M175" s="38">
        <f t="shared" si="6"/>
        <v>1503.468554</v>
      </c>
    </row>
    <row r="176" ht="10.5" customHeight="1">
      <c r="A176" s="55" t="s">
        <v>50</v>
      </c>
      <c r="B176" s="49">
        <f t="shared" si="11"/>
        <v>2023</v>
      </c>
      <c r="C176" s="48"/>
      <c r="D176" s="38">
        <f t="shared" si="4"/>
        <v>352.17</v>
      </c>
      <c r="E176" s="38">
        <v>67.08</v>
      </c>
      <c r="F176" s="53" t="s">
        <v>59</v>
      </c>
      <c r="G176" s="40"/>
      <c r="H176" s="38">
        <f t="shared" si="5"/>
        <v>13.98029507</v>
      </c>
      <c r="I176" s="38">
        <f t="shared" si="7"/>
        <v>5486.89</v>
      </c>
      <c r="J176" s="56">
        <v>31.0</v>
      </c>
      <c r="K176" s="52">
        <v>101.5</v>
      </c>
      <c r="L176" s="43">
        <f t="shared" si="8"/>
        <v>1.312196455</v>
      </c>
      <c r="M176" s="38">
        <f t="shared" si="6"/>
        <v>1712.987608</v>
      </c>
    </row>
    <row r="177" ht="10.5" customHeight="1">
      <c r="A177" s="55" t="s">
        <v>56</v>
      </c>
      <c r="B177" s="49">
        <f t="shared" si="11"/>
        <v>2023</v>
      </c>
      <c r="C177" s="48"/>
      <c r="D177" s="38">
        <f t="shared" si="4"/>
        <v>352.17</v>
      </c>
      <c r="E177" s="38">
        <v>67.08</v>
      </c>
      <c r="F177" s="53" t="s">
        <v>59</v>
      </c>
      <c r="G177" s="40"/>
      <c r="H177" s="38">
        <f t="shared" si="5"/>
        <v>14.39768219</v>
      </c>
      <c r="I177" s="38">
        <f t="shared" si="7"/>
        <v>5839.06</v>
      </c>
      <c r="J177" s="56">
        <v>30.0</v>
      </c>
      <c r="K177" s="52">
        <v>100.2</v>
      </c>
      <c r="L177" s="43">
        <f t="shared" si="8"/>
        <v>1.314820848</v>
      </c>
      <c r="M177" s="38">
        <f t="shared" si="6"/>
        <v>1838.257821</v>
      </c>
    </row>
    <row r="178" ht="10.5" customHeight="1">
      <c r="A178" s="55" t="s">
        <v>41</v>
      </c>
      <c r="B178" s="49">
        <f t="shared" si="11"/>
        <v>2023</v>
      </c>
      <c r="C178" s="48">
        <v>2000.0</v>
      </c>
      <c r="D178" s="38">
        <f t="shared" si="4"/>
        <v>352.17</v>
      </c>
      <c r="E178" s="38">
        <v>67.08</v>
      </c>
      <c r="F178" s="53" t="s">
        <v>59</v>
      </c>
      <c r="G178" s="40"/>
      <c r="H178" s="38">
        <f t="shared" si="5"/>
        <v>10.67902438</v>
      </c>
      <c r="I178" s="38">
        <f t="shared" si="7"/>
        <v>4191.23</v>
      </c>
      <c r="J178" s="56">
        <v>31.0</v>
      </c>
      <c r="K178" s="52">
        <v>100.5</v>
      </c>
      <c r="L178" s="43">
        <f t="shared" si="8"/>
        <v>1.321394952</v>
      </c>
      <c r="M178" s="38">
        <f t="shared" si="6"/>
        <v>1347.040166</v>
      </c>
    </row>
    <row r="179" ht="10.5" customHeight="1">
      <c r="A179" s="55" t="s">
        <v>57</v>
      </c>
      <c r="B179" s="49">
        <f t="shared" si="11"/>
        <v>2023</v>
      </c>
      <c r="C179" s="48">
        <v>1000.0</v>
      </c>
      <c r="D179" s="38">
        <f t="shared" si="4"/>
        <v>352.17</v>
      </c>
      <c r="E179" s="38">
        <v>67.08</v>
      </c>
      <c r="F179" s="53" t="s">
        <v>59</v>
      </c>
      <c r="G179" s="40"/>
      <c r="H179" s="38">
        <f t="shared" si="5"/>
        <v>8.737150685</v>
      </c>
      <c r="I179" s="38">
        <f t="shared" si="7"/>
        <v>3543.4</v>
      </c>
      <c r="J179" s="56">
        <v>30.0</v>
      </c>
      <c r="K179" s="52">
        <v>100.8</v>
      </c>
      <c r="L179" s="43">
        <f t="shared" si="8"/>
        <v>1.331966112</v>
      </c>
      <c r="M179" s="38">
        <f t="shared" si="6"/>
        <v>1176.288721</v>
      </c>
    </row>
    <row r="180" ht="10.5" customHeight="1">
      <c r="A180" s="55" t="s">
        <v>58</v>
      </c>
      <c r="B180" s="57" t="s">
        <v>61</v>
      </c>
      <c r="C180" s="48">
        <v>1000.0</v>
      </c>
      <c r="D180" s="38">
        <f t="shared" si="4"/>
        <v>352.17</v>
      </c>
      <c r="E180" s="38">
        <v>67.08</v>
      </c>
      <c r="F180" s="53" t="s">
        <v>59</v>
      </c>
      <c r="G180" s="58"/>
      <c r="H180" s="38">
        <f t="shared" si="5"/>
        <v>7.377753699</v>
      </c>
      <c r="I180" s="38">
        <f t="shared" si="7"/>
        <v>2895.57</v>
      </c>
      <c r="J180" s="56">
        <v>31.0</v>
      </c>
      <c r="K180" s="52">
        <v>99.4</v>
      </c>
      <c r="L180" s="43">
        <f t="shared" si="8"/>
        <v>1.323974315</v>
      </c>
      <c r="M180" s="38">
        <f t="shared" si="6"/>
        <v>938.0903081</v>
      </c>
    </row>
    <row r="181" ht="10.5" customHeight="1">
      <c r="A181" s="55" t="s">
        <v>44</v>
      </c>
      <c r="B181" s="57" t="s">
        <v>61</v>
      </c>
      <c r="C181" s="48"/>
      <c r="D181" s="38">
        <f t="shared" si="4"/>
        <v>352.17</v>
      </c>
      <c r="E181" s="38">
        <v>67.08</v>
      </c>
      <c r="F181" s="53" t="s">
        <v>59</v>
      </c>
      <c r="G181" s="58"/>
      <c r="H181" s="38">
        <f t="shared" si="5"/>
        <v>8.275063562</v>
      </c>
      <c r="I181" s="38">
        <f t="shared" si="7"/>
        <v>3247.74</v>
      </c>
      <c r="J181" s="56">
        <v>31.0</v>
      </c>
      <c r="K181" s="52">
        <v>98.6</v>
      </c>
      <c r="L181" s="43">
        <f t="shared" si="8"/>
        <v>1.305438675</v>
      </c>
      <c r="M181" s="38">
        <f t="shared" si="6"/>
        <v>991.9854019</v>
      </c>
    </row>
    <row r="182" ht="10.5" customHeight="1">
      <c r="A182" s="55" t="s">
        <v>52</v>
      </c>
      <c r="B182" s="57" t="s">
        <v>61</v>
      </c>
      <c r="C182" s="48"/>
      <c r="D182" s="38">
        <f t="shared" si="4"/>
        <v>352.17</v>
      </c>
      <c r="E182" s="38">
        <v>67.08</v>
      </c>
      <c r="F182" s="53" t="s">
        <v>59</v>
      </c>
      <c r="G182" s="58"/>
      <c r="H182" s="38">
        <f t="shared" si="5"/>
        <v>8.876490411</v>
      </c>
      <c r="I182" s="38">
        <f t="shared" si="7"/>
        <v>3599.91</v>
      </c>
      <c r="J182" s="56">
        <v>30.0</v>
      </c>
      <c r="K182" s="52">
        <v>100.5</v>
      </c>
      <c r="L182" s="43">
        <f t="shared" si="8"/>
        <v>1.311965868</v>
      </c>
      <c r="M182" s="38">
        <f t="shared" si="6"/>
        <v>1123.049049</v>
      </c>
    </row>
    <row r="183" ht="10.5" customHeight="1">
      <c r="A183" s="55" t="s">
        <v>53</v>
      </c>
      <c r="B183" s="57" t="s">
        <v>61</v>
      </c>
      <c r="C183" s="48"/>
      <c r="D183" s="38">
        <f t="shared" si="4"/>
        <v>352.17</v>
      </c>
      <c r="E183" s="38">
        <v>67.08</v>
      </c>
      <c r="F183" s="53" t="s">
        <v>59</v>
      </c>
      <c r="G183" s="58"/>
      <c r="H183" s="38">
        <f t="shared" si="5"/>
        <v>10.06968329</v>
      </c>
      <c r="I183" s="38">
        <f t="shared" si="7"/>
        <v>3952.08</v>
      </c>
      <c r="J183" s="56">
        <v>31.0</v>
      </c>
      <c r="K183" s="52">
        <v>100.8</v>
      </c>
      <c r="L183" s="43">
        <f t="shared" si="8"/>
        <v>1.322461595</v>
      </c>
      <c r="M183" s="38">
        <f t="shared" si="6"/>
        <v>1274.394021</v>
      </c>
    </row>
    <row r="184" ht="10.5" customHeight="1">
      <c r="A184" s="55" t="s">
        <v>37</v>
      </c>
      <c r="B184" s="57" t="s">
        <v>61</v>
      </c>
      <c r="C184" s="48"/>
      <c r="D184" s="38">
        <f t="shared" si="4"/>
        <v>352.17</v>
      </c>
      <c r="E184" s="38">
        <v>67.08</v>
      </c>
      <c r="F184" s="53" t="s">
        <v>59</v>
      </c>
      <c r="G184" s="58"/>
      <c r="H184" s="38">
        <f t="shared" si="5"/>
        <v>10.61321918</v>
      </c>
      <c r="I184" s="38">
        <f t="shared" si="7"/>
        <v>4304.25</v>
      </c>
      <c r="J184" s="56">
        <v>30.0</v>
      </c>
      <c r="K184" s="52">
        <v>100.5</v>
      </c>
      <c r="L184" s="43">
        <f t="shared" si="8"/>
        <v>1.329073903</v>
      </c>
      <c r="M184" s="38">
        <f t="shared" si="6"/>
        <v>1416.416348</v>
      </c>
    </row>
    <row r="185" ht="10.5" customHeight="1">
      <c r="A185" s="55" t="s">
        <v>45</v>
      </c>
      <c r="B185" s="57" t="s">
        <v>61</v>
      </c>
      <c r="C185" s="48"/>
      <c r="D185" s="38">
        <f t="shared" si="4"/>
        <v>352.17</v>
      </c>
      <c r="E185" s="38">
        <v>67.08</v>
      </c>
      <c r="F185" s="53" t="s">
        <v>59</v>
      </c>
      <c r="G185" s="58"/>
      <c r="H185" s="38">
        <f t="shared" si="5"/>
        <v>11.86430301</v>
      </c>
      <c r="I185" s="38">
        <f t="shared" si="7"/>
        <v>4656.42</v>
      </c>
      <c r="J185" s="56">
        <v>31.0</v>
      </c>
      <c r="K185" s="52">
        <v>100.7</v>
      </c>
      <c r="L185" s="43">
        <f t="shared" si="8"/>
        <v>1.33837742</v>
      </c>
      <c r="M185" s="38">
        <f t="shared" si="6"/>
        <v>1575.627388</v>
      </c>
    </row>
    <row r="186" ht="10.5" customHeight="1">
      <c r="A186" s="55" t="s">
        <v>26</v>
      </c>
      <c r="B186" s="57" t="s">
        <v>62</v>
      </c>
      <c r="C186" s="48"/>
      <c r="D186" s="38">
        <f t="shared" si="4"/>
        <v>352.17</v>
      </c>
      <c r="E186" s="38">
        <v>67.08</v>
      </c>
      <c r="F186" s="53" t="s">
        <v>59</v>
      </c>
      <c r="G186" s="58"/>
      <c r="H186" s="38">
        <f t="shared" ref="H186:H197" si="12">(I186*0.03/366*J186)</f>
        <v>12.72674508</v>
      </c>
      <c r="I186" s="38">
        <f t="shared" si="7"/>
        <v>5008.59</v>
      </c>
      <c r="J186" s="56">
        <v>31.0</v>
      </c>
      <c r="K186" s="52">
        <v>100.4</v>
      </c>
      <c r="L186" s="43">
        <f t="shared" si="8"/>
        <v>1.34373093</v>
      </c>
      <c r="M186" s="38">
        <f t="shared" si="6"/>
        <v>1721.6073</v>
      </c>
    </row>
    <row r="187" ht="10.5" customHeight="1">
      <c r="A187" s="55" t="s">
        <v>28</v>
      </c>
      <c r="B187" s="57" t="s">
        <v>62</v>
      </c>
      <c r="C187" s="48">
        <v>500.0</v>
      </c>
      <c r="D187" s="38">
        <f t="shared" si="4"/>
        <v>352.17</v>
      </c>
      <c r="E187" s="38">
        <v>67.08</v>
      </c>
      <c r="F187" s="53" t="s">
        <v>59</v>
      </c>
      <c r="G187" s="58"/>
      <c r="H187" s="38">
        <f t="shared" si="12"/>
        <v>11.55426557</v>
      </c>
      <c r="I187" s="38">
        <f t="shared" si="7"/>
        <v>4860.76</v>
      </c>
      <c r="J187" s="56">
        <v>29.0</v>
      </c>
      <c r="K187" s="52">
        <v>100.3</v>
      </c>
      <c r="L187" s="43">
        <f t="shared" si="8"/>
        <v>1.347762123</v>
      </c>
      <c r="M187" s="38">
        <f t="shared" si="6"/>
        <v>1690.388217</v>
      </c>
    </row>
    <row r="188" ht="10.5" customHeight="1">
      <c r="A188" s="55" t="s">
        <v>50</v>
      </c>
      <c r="B188" s="57" t="s">
        <v>62</v>
      </c>
      <c r="C188" s="48"/>
      <c r="D188" s="38">
        <f t="shared" si="4"/>
        <v>352.17</v>
      </c>
      <c r="E188" s="38">
        <v>67.08</v>
      </c>
      <c r="F188" s="53" t="s">
        <v>59</v>
      </c>
      <c r="G188" s="58"/>
      <c r="H188" s="38">
        <f t="shared" si="12"/>
        <v>13.24596967</v>
      </c>
      <c r="I188" s="38">
        <f t="shared" si="7"/>
        <v>5212.93</v>
      </c>
      <c r="J188" s="56">
        <v>31.0</v>
      </c>
      <c r="K188" s="52">
        <v>100.5</v>
      </c>
      <c r="L188" s="43">
        <f t="shared" si="8"/>
        <v>1.354500934</v>
      </c>
      <c r="M188" s="38">
        <f t="shared" si="6"/>
        <v>1847.988552</v>
      </c>
    </row>
    <row r="189" ht="10.5" customHeight="1">
      <c r="A189" s="55" t="s">
        <v>56</v>
      </c>
      <c r="B189" s="57" t="s">
        <v>62</v>
      </c>
      <c r="C189" s="48"/>
      <c r="D189" s="38">
        <f t="shared" si="4"/>
        <v>352.17</v>
      </c>
      <c r="E189" s="38">
        <v>67.08</v>
      </c>
      <c r="F189" s="53" t="s">
        <v>59</v>
      </c>
      <c r="G189" s="58"/>
      <c r="H189" s="38">
        <f t="shared" si="12"/>
        <v>13.68467213</v>
      </c>
      <c r="I189" s="38">
        <f t="shared" si="7"/>
        <v>5565.1</v>
      </c>
      <c r="J189" s="56">
        <v>30.0</v>
      </c>
      <c r="K189" s="52">
        <v>100.2</v>
      </c>
      <c r="L189" s="43">
        <f t="shared" si="8"/>
        <v>1.357209935</v>
      </c>
      <c r="M189" s="38">
        <f t="shared" si="6"/>
        <v>1987.909012</v>
      </c>
    </row>
    <row r="190" ht="10.5" customHeight="1">
      <c r="A190" s="55" t="s">
        <v>41</v>
      </c>
      <c r="B190" s="57" t="s">
        <v>62</v>
      </c>
      <c r="C190" s="48"/>
      <c r="D190" s="38">
        <f t="shared" si="4"/>
        <v>352.17</v>
      </c>
      <c r="E190" s="38">
        <v>67.08</v>
      </c>
      <c r="F190" s="53" t="s">
        <v>59</v>
      </c>
      <c r="G190" s="58"/>
      <c r="H190" s="38">
        <f t="shared" si="12"/>
        <v>15.03568607</v>
      </c>
      <c r="I190" s="38">
        <f t="shared" si="7"/>
        <v>5917.27</v>
      </c>
      <c r="J190" s="56">
        <v>31.0</v>
      </c>
      <c r="K190" s="52">
        <v>100.6</v>
      </c>
      <c r="L190" s="43">
        <f t="shared" si="8"/>
        <v>1.365353195</v>
      </c>
      <c r="M190" s="38">
        <f t="shared" si="6"/>
        <v>2161.8935</v>
      </c>
    </row>
    <row r="191" ht="10.5" customHeight="1">
      <c r="A191" s="55" t="s">
        <v>57</v>
      </c>
      <c r="B191" s="57" t="s">
        <v>62</v>
      </c>
      <c r="C191" s="48"/>
      <c r="D191" s="38">
        <f t="shared" si="4"/>
        <v>352.17</v>
      </c>
      <c r="E191" s="38">
        <v>67.08</v>
      </c>
      <c r="F191" s="53" t="s">
        <v>59</v>
      </c>
      <c r="G191" s="58"/>
      <c r="H191" s="38">
        <f t="shared" si="12"/>
        <v>15.41665574</v>
      </c>
      <c r="I191" s="38">
        <f t="shared" si="7"/>
        <v>6269.44</v>
      </c>
      <c r="J191" s="56">
        <v>30.0</v>
      </c>
      <c r="K191" s="52">
        <v>102.2</v>
      </c>
      <c r="L191" s="43">
        <f t="shared" si="8"/>
        <v>1.395390965</v>
      </c>
      <c r="M191" s="38">
        <f t="shared" si="6"/>
        <v>2478.879934</v>
      </c>
    </row>
    <row r="192" ht="10.5" customHeight="1">
      <c r="A192" s="55" t="s">
        <v>58</v>
      </c>
      <c r="B192" s="57" t="s">
        <v>62</v>
      </c>
      <c r="C192" s="48">
        <v>500.0</v>
      </c>
      <c r="D192" s="38">
        <f t="shared" si="4"/>
        <v>419.25</v>
      </c>
      <c r="E192" s="38">
        <v>67.08</v>
      </c>
      <c r="F192" s="53" t="s">
        <v>63</v>
      </c>
      <c r="G192" s="58"/>
      <c r="H192" s="38">
        <f t="shared" si="12"/>
        <v>15.72535984</v>
      </c>
      <c r="I192" s="38">
        <f t="shared" si="7"/>
        <v>6188.69</v>
      </c>
      <c r="J192" s="56">
        <v>31.0</v>
      </c>
      <c r="K192" s="52">
        <v>100.0</v>
      </c>
      <c r="L192" s="43">
        <f t="shared" si="8"/>
        <v>1.395390965</v>
      </c>
      <c r="M192" s="38">
        <f t="shared" si="6"/>
        <v>2446.952113</v>
      </c>
    </row>
    <row r="193" ht="10.5" customHeight="1">
      <c r="A193" s="55" t="s">
        <v>44</v>
      </c>
      <c r="B193" s="57" t="s">
        <v>62</v>
      </c>
      <c r="C193" s="48"/>
      <c r="D193" s="38">
        <f t="shared" si="4"/>
        <v>419.25</v>
      </c>
      <c r="E193" s="38">
        <v>67.08</v>
      </c>
      <c r="F193" s="53" t="s">
        <v>63</v>
      </c>
      <c r="G193" s="58"/>
      <c r="H193" s="38">
        <f t="shared" si="12"/>
        <v>16.79066721</v>
      </c>
      <c r="I193" s="38">
        <f t="shared" si="7"/>
        <v>6607.94</v>
      </c>
      <c r="J193" s="56">
        <v>31.0</v>
      </c>
      <c r="K193" s="52">
        <v>100.6</v>
      </c>
      <c r="L193" s="43">
        <f t="shared" si="8"/>
        <v>1.403763311</v>
      </c>
      <c r="M193" s="38">
        <f t="shared" si="6"/>
        <v>2668.043734</v>
      </c>
    </row>
    <row r="194" ht="10.5" customHeight="1">
      <c r="A194" s="55" t="s">
        <v>52</v>
      </c>
      <c r="B194" s="57" t="s">
        <v>62</v>
      </c>
      <c r="C194" s="48">
        <v>500.0</v>
      </c>
      <c r="D194" s="38">
        <f t="shared" si="4"/>
        <v>419.25</v>
      </c>
      <c r="E194" s="38">
        <v>67.08</v>
      </c>
      <c r="F194" s="53" t="s">
        <v>63</v>
      </c>
      <c r="G194" s="58"/>
      <c r="H194" s="38">
        <f t="shared" si="12"/>
        <v>16.05046721</v>
      </c>
      <c r="I194" s="38">
        <f t="shared" si="7"/>
        <v>6527.19</v>
      </c>
      <c r="J194" s="56">
        <v>30.0</v>
      </c>
      <c r="K194" s="52">
        <v>101.5</v>
      </c>
      <c r="L194" s="43">
        <f t="shared" si="8"/>
        <v>1.424819761</v>
      </c>
      <c r="M194" s="38">
        <f t="shared" si="6"/>
        <v>2772.879294</v>
      </c>
    </row>
    <row r="195" ht="10.5" customHeight="1">
      <c r="A195" s="55" t="s">
        <v>53</v>
      </c>
      <c r="B195" s="57" t="s">
        <v>62</v>
      </c>
      <c r="C195" s="48"/>
      <c r="D195" s="38">
        <f t="shared" si="4"/>
        <v>419.25</v>
      </c>
      <c r="E195" s="38">
        <v>67.08</v>
      </c>
      <c r="F195" s="53" t="s">
        <v>63</v>
      </c>
      <c r="G195" s="58"/>
      <c r="H195" s="38">
        <f t="shared" si="12"/>
        <v>17.65079016</v>
      </c>
      <c r="I195" s="38">
        <f t="shared" si="7"/>
        <v>6946.44</v>
      </c>
      <c r="J195" s="56">
        <v>31.0</v>
      </c>
      <c r="K195" s="52">
        <v>101.8</v>
      </c>
      <c r="L195" s="43">
        <f t="shared" si="8"/>
        <v>1.450466516</v>
      </c>
      <c r="M195" s="38">
        <f t="shared" si="6"/>
        <v>3129.138629</v>
      </c>
    </row>
    <row r="196" ht="10.5" customHeight="1">
      <c r="A196" s="55" t="s">
        <v>37</v>
      </c>
      <c r="B196" s="57" t="s">
        <v>62</v>
      </c>
      <c r="C196" s="48"/>
      <c r="D196" s="38">
        <f t="shared" si="4"/>
        <v>419.25</v>
      </c>
      <c r="E196" s="38">
        <v>67.08</v>
      </c>
      <c r="F196" s="53" t="s">
        <v>63</v>
      </c>
      <c r="G196" s="58"/>
      <c r="H196" s="38">
        <f t="shared" si="12"/>
        <v>18.11235246</v>
      </c>
      <c r="I196" s="38">
        <f t="shared" si="7"/>
        <v>7365.69</v>
      </c>
      <c r="J196" s="56">
        <v>30.0</v>
      </c>
      <c r="K196" s="52">
        <v>101.9</v>
      </c>
      <c r="L196" s="43">
        <f t="shared" si="8"/>
        <v>1.47802538</v>
      </c>
      <c r="M196" s="38">
        <f t="shared" si="6"/>
        <v>3520.986763</v>
      </c>
    </row>
    <row r="197" ht="10.5" customHeight="1">
      <c r="A197" s="55" t="s">
        <v>45</v>
      </c>
      <c r="B197" s="57" t="s">
        <v>62</v>
      </c>
      <c r="C197" s="48">
        <v>1000.0</v>
      </c>
      <c r="D197" s="38">
        <f t="shared" si="4"/>
        <v>419.25</v>
      </c>
      <c r="E197" s="38">
        <v>67.08</v>
      </c>
      <c r="F197" s="53" t="s">
        <v>63</v>
      </c>
      <c r="G197" s="58"/>
      <c r="H197" s="38">
        <f t="shared" si="12"/>
        <v>17.24042131</v>
      </c>
      <c r="I197" s="38">
        <f t="shared" si="7"/>
        <v>6784.94</v>
      </c>
      <c r="J197" s="56">
        <v>31.0</v>
      </c>
      <c r="K197" s="52">
        <v>101.4</v>
      </c>
      <c r="L197" s="43">
        <f t="shared" si="8"/>
        <v>1.498717736</v>
      </c>
      <c r="M197" s="38">
        <f t="shared" si="6"/>
        <v>3383.769913</v>
      </c>
    </row>
    <row r="198" ht="10.5" customHeight="1">
      <c r="A198" s="55" t="s">
        <v>26</v>
      </c>
      <c r="B198" s="57" t="s">
        <v>64</v>
      </c>
      <c r="C198" s="48">
        <v>1000.0</v>
      </c>
      <c r="D198" s="38">
        <f t="shared" si="4"/>
        <v>419.25</v>
      </c>
      <c r="E198" s="38">
        <v>67.08</v>
      </c>
      <c r="F198" s="53" t="s">
        <v>63</v>
      </c>
      <c r="G198" s="58"/>
      <c r="H198" s="38">
        <f t="shared" ref="H198:H203" si="13">(I198*0.03/365*J198)</f>
        <v>15.80793616</v>
      </c>
      <c r="I198" s="38">
        <f t="shared" si="7"/>
        <v>6204.19</v>
      </c>
      <c r="J198" s="59">
        <v>31.0</v>
      </c>
      <c r="K198" s="52">
        <v>101.2</v>
      </c>
      <c r="L198" s="43">
        <f t="shared" si="8"/>
        <v>1.516702348</v>
      </c>
      <c r="M198" s="38">
        <f t="shared" si="6"/>
        <v>3205.719543</v>
      </c>
    </row>
    <row r="199" ht="10.5" customHeight="1">
      <c r="A199" s="60" t="s">
        <v>28</v>
      </c>
      <c r="B199" s="57" t="s">
        <v>64</v>
      </c>
      <c r="C199" s="48"/>
      <c r="D199" s="38">
        <f t="shared" si="4"/>
        <v>419.25</v>
      </c>
      <c r="E199" s="38">
        <v>67.08</v>
      </c>
      <c r="F199" s="53" t="s">
        <v>63</v>
      </c>
      <c r="G199" s="58"/>
      <c r="H199" s="38">
        <f t="shared" si="13"/>
        <v>15.24298521</v>
      </c>
      <c r="I199" s="38">
        <f t="shared" si="7"/>
        <v>6623.44</v>
      </c>
      <c r="J199" s="59">
        <v>28.0</v>
      </c>
      <c r="K199" s="52">
        <v>100.8</v>
      </c>
      <c r="L199" s="43">
        <f t="shared" si="8"/>
        <v>1.528835967</v>
      </c>
      <c r="M199" s="38">
        <f t="shared" si="6"/>
        <v>3502.713299</v>
      </c>
    </row>
    <row r="200" ht="10.5" customHeight="1">
      <c r="A200" s="60" t="s">
        <v>50</v>
      </c>
      <c r="B200" s="57" t="s">
        <v>64</v>
      </c>
      <c r="C200" s="48"/>
      <c r="D200" s="38">
        <f t="shared" si="4"/>
        <v>419.25</v>
      </c>
      <c r="E200" s="38">
        <v>67.08</v>
      </c>
      <c r="F200" s="53" t="s">
        <v>63</v>
      </c>
      <c r="G200" s="58"/>
      <c r="H200" s="38">
        <f t="shared" si="13"/>
        <v>17.94438822</v>
      </c>
      <c r="I200" s="38">
        <f t="shared" si="7"/>
        <v>7042.69</v>
      </c>
      <c r="J200" s="59">
        <v>31.0</v>
      </c>
      <c r="K200" s="52">
        <v>101.5</v>
      </c>
      <c r="L200" s="43">
        <f t="shared" si="8"/>
        <v>1.551768507</v>
      </c>
      <c r="M200" s="38">
        <f t="shared" si="6"/>
        <v>3885.934545</v>
      </c>
    </row>
    <row r="201" ht="10.5" customHeight="1">
      <c r="A201" s="60" t="s">
        <v>56</v>
      </c>
      <c r="B201" s="57" t="s">
        <v>64</v>
      </c>
      <c r="C201" s="48">
        <v>420.0</v>
      </c>
      <c r="D201" s="38">
        <f t="shared" si="4"/>
        <v>419.25</v>
      </c>
      <c r="E201" s="61">
        <v>67.08</v>
      </c>
      <c r="F201" s="53" t="s">
        <v>63</v>
      </c>
      <c r="G201" s="58"/>
      <c r="H201" s="38">
        <f t="shared" si="13"/>
        <v>17.36368767</v>
      </c>
      <c r="I201" s="38">
        <f t="shared" si="7"/>
        <v>7041.94</v>
      </c>
      <c r="J201" s="59">
        <v>30.0</v>
      </c>
      <c r="K201" s="52">
        <v>100.7</v>
      </c>
      <c r="L201" s="43">
        <f t="shared" si="8"/>
        <v>1.562630886</v>
      </c>
      <c r="M201" s="38">
        <f t="shared" si="6"/>
        <v>3962.012943</v>
      </c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  <c r="AA201" s="62"/>
      <c r="AB201" s="62"/>
      <c r="AC201" s="62"/>
      <c r="AD201" s="62"/>
      <c r="AE201" s="62"/>
      <c r="AF201" s="62"/>
      <c r="AG201" s="62"/>
      <c r="AH201" s="62"/>
    </row>
    <row r="202" ht="10.5" customHeight="1">
      <c r="A202" s="60" t="s">
        <v>41</v>
      </c>
      <c r="B202" s="57" t="s">
        <v>64</v>
      </c>
      <c r="C202" s="48"/>
      <c r="D202" s="38">
        <f t="shared" si="4"/>
        <v>419.25</v>
      </c>
      <c r="E202" s="61">
        <v>67.08</v>
      </c>
      <c r="F202" s="53" t="s">
        <v>63</v>
      </c>
      <c r="G202" s="58"/>
      <c r="H202" s="38">
        <f t="shared" si="13"/>
        <v>19.01070329</v>
      </c>
      <c r="I202" s="38">
        <f t="shared" si="7"/>
        <v>7461.19</v>
      </c>
      <c r="J202" s="59">
        <v>31.0</v>
      </c>
      <c r="K202" s="52">
        <v>101.3</v>
      </c>
      <c r="L202" s="43">
        <f t="shared" si="8"/>
        <v>1.582945088</v>
      </c>
      <c r="M202" s="38">
        <f t="shared" si="6"/>
        <v>4349.46406</v>
      </c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  <c r="AA202" s="62"/>
      <c r="AB202" s="62"/>
      <c r="AC202" s="62"/>
      <c r="AD202" s="62"/>
      <c r="AE202" s="62"/>
      <c r="AF202" s="62"/>
      <c r="AG202" s="62"/>
      <c r="AH202" s="62"/>
    </row>
    <row r="203" ht="10.5" customHeight="1">
      <c r="A203" s="60" t="s">
        <v>32</v>
      </c>
      <c r="B203" s="57" t="s">
        <v>64</v>
      </c>
      <c r="C203" s="48">
        <v>500.0</v>
      </c>
      <c r="D203" s="38">
        <f t="shared" si="4"/>
        <v>419.25</v>
      </c>
      <c r="E203" s="61">
        <v>67.08</v>
      </c>
      <c r="F203" s="53" t="s">
        <v>63</v>
      </c>
      <c r="G203" s="58"/>
      <c r="H203" s="61">
        <f t="shared" si="13"/>
        <v>18.19834521</v>
      </c>
      <c r="I203" s="38">
        <f t="shared" si="7"/>
        <v>7380.44</v>
      </c>
      <c r="J203" s="59">
        <v>30.0</v>
      </c>
      <c r="K203" s="52">
        <v>100.8</v>
      </c>
      <c r="L203" s="43">
        <f t="shared" si="8"/>
        <v>1.595608649</v>
      </c>
      <c r="M203" s="38">
        <f t="shared" si="6"/>
        <v>4395.853894</v>
      </c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  <c r="AA203" s="62"/>
      <c r="AB203" s="62"/>
      <c r="AC203" s="62"/>
      <c r="AD203" s="62"/>
      <c r="AE203" s="62"/>
      <c r="AF203" s="62"/>
      <c r="AG203" s="62"/>
      <c r="AH203" s="62"/>
    </row>
    <row r="204" ht="11.25" customHeight="1">
      <c r="A204" s="63" t="s">
        <v>65</v>
      </c>
      <c r="B204" s="64"/>
      <c r="C204" s="65">
        <f t="shared" ref="C204:D204" si="14">SUM(C160:C203)</f>
        <v>9272.17</v>
      </c>
      <c r="D204" s="65">
        <f t="shared" si="14"/>
        <v>16300.44</v>
      </c>
      <c r="E204" s="65"/>
      <c r="F204" s="65"/>
      <c r="G204" s="65">
        <f>SUM(G160:G201)</f>
        <v>0</v>
      </c>
      <c r="H204" s="65">
        <f>SUM(H160:H203)</f>
        <v>516.9665974</v>
      </c>
      <c r="I204" s="65"/>
      <c r="J204" s="65">
        <f>SUM(J160:J203)</f>
        <v>1338</v>
      </c>
      <c r="K204" s="65"/>
      <c r="L204" s="65"/>
      <c r="M204" s="65">
        <v>4395.85</v>
      </c>
    </row>
    <row r="205" ht="24.75" customHeight="1">
      <c r="A205" s="66" t="s">
        <v>66</v>
      </c>
      <c r="B205" s="67"/>
      <c r="C205" s="67"/>
      <c r="D205" s="68"/>
      <c r="E205" s="69">
        <f>D204+H204-C204+M204+E210+E211+D9</f>
        <v>12293.2566</v>
      </c>
      <c r="F205" s="70" t="s">
        <v>20</v>
      </c>
      <c r="G205" s="70"/>
      <c r="H205" s="71"/>
      <c r="I205" s="25"/>
      <c r="J205" s="71"/>
      <c r="K205" s="71"/>
      <c r="L205" s="72"/>
      <c r="M205" s="71"/>
      <c r="N205" s="71"/>
      <c r="O205" s="71"/>
      <c r="P205" s="71"/>
      <c r="Q205" s="71"/>
      <c r="R205" s="71"/>
      <c r="S205" s="71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</row>
    <row r="206" ht="24.75" customHeight="1">
      <c r="A206" s="73"/>
      <c r="B206" s="74"/>
      <c r="C206" s="75"/>
      <c r="D206" s="75"/>
      <c r="E206" s="76"/>
      <c r="F206" s="15"/>
      <c r="G206" s="15"/>
      <c r="H206" s="15"/>
      <c r="I206" s="15"/>
      <c r="J206" s="15"/>
      <c r="K206" s="15"/>
      <c r="L206" s="3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</row>
    <row r="207" ht="24.75" customHeight="1">
      <c r="A207" s="73" t="s">
        <v>67</v>
      </c>
      <c r="B207" s="74"/>
      <c r="C207" s="77" t="s">
        <v>68</v>
      </c>
      <c r="D207" s="78"/>
      <c r="E207" s="76">
        <f>D9+D204-C204</f>
        <v>7380.44</v>
      </c>
      <c r="F207" s="15" t="s">
        <v>20</v>
      </c>
      <c r="G207" s="15"/>
      <c r="H207" s="15"/>
      <c r="I207" s="15"/>
      <c r="J207" s="15"/>
      <c r="K207" s="15"/>
      <c r="L207" s="3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</row>
    <row r="208" ht="24.75" customHeight="1">
      <c r="A208" s="73"/>
      <c r="B208" s="74"/>
      <c r="C208" s="79" t="s">
        <v>69</v>
      </c>
      <c r="E208" s="76">
        <f>H204</f>
        <v>516.9665974</v>
      </c>
      <c r="F208" s="15" t="s">
        <v>20</v>
      </c>
      <c r="G208" s="15"/>
      <c r="H208" s="15"/>
      <c r="I208" s="15"/>
      <c r="J208" s="15"/>
      <c r="K208" s="80"/>
      <c r="L208" s="3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</row>
    <row r="209" ht="24.75" customHeight="1">
      <c r="A209" s="73"/>
      <c r="B209" s="74"/>
      <c r="C209" s="79" t="s">
        <v>70</v>
      </c>
      <c r="E209" s="76">
        <f>M204</f>
        <v>4395.85</v>
      </c>
      <c r="F209" s="15" t="s">
        <v>20</v>
      </c>
      <c r="G209" s="15"/>
      <c r="H209" s="15"/>
      <c r="I209" s="15"/>
      <c r="J209" s="15"/>
      <c r="K209" s="80"/>
      <c r="L209" s="3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</row>
    <row r="210" ht="21.0" hidden="1" customHeight="1">
      <c r="A210" s="15"/>
      <c r="B210" s="1"/>
      <c r="C210" s="79" t="s">
        <v>71</v>
      </c>
      <c r="E210" s="15">
        <v>0.0</v>
      </c>
      <c r="F210" s="15" t="s">
        <v>20</v>
      </c>
      <c r="G210" s="15"/>
      <c r="H210" s="15"/>
      <c r="I210" s="15"/>
      <c r="J210" s="15"/>
      <c r="K210" s="80"/>
      <c r="L210" s="3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</row>
    <row r="211" ht="21.0" hidden="1" customHeight="1">
      <c r="A211" s="15"/>
      <c r="B211" s="81"/>
      <c r="C211" s="79" t="s">
        <v>72</v>
      </c>
      <c r="E211" s="15">
        <v>0.0</v>
      </c>
      <c r="F211" s="15" t="s">
        <v>20</v>
      </c>
      <c r="G211" s="82"/>
      <c r="H211" s="15"/>
      <c r="I211" s="15"/>
      <c r="J211" s="15"/>
      <c r="K211" s="80"/>
      <c r="L211" s="3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</row>
    <row r="212" ht="12.75" customHeight="1">
      <c r="A212" s="15"/>
      <c r="B212" s="1"/>
      <c r="C212" s="79"/>
      <c r="E212" s="83"/>
      <c r="F212" s="15"/>
      <c r="G212" s="15"/>
      <c r="H212" s="15"/>
      <c r="I212" s="15"/>
      <c r="J212" s="15"/>
      <c r="K212" s="80"/>
      <c r="L212" s="3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</row>
    <row r="213" ht="12.75" customHeight="1">
      <c r="A213" s="15"/>
      <c r="B213" s="1"/>
      <c r="C213" s="15"/>
      <c r="D213" s="84"/>
      <c r="E213" s="15"/>
      <c r="F213" s="85" t="s">
        <v>73</v>
      </c>
      <c r="G213" s="85"/>
      <c r="H213" s="85"/>
      <c r="I213" s="85"/>
      <c r="J213" s="85"/>
      <c r="K213" s="86"/>
      <c r="L213" s="87" t="s">
        <v>74</v>
      </c>
      <c r="M213" s="85"/>
      <c r="N213" s="15"/>
      <c r="O213" s="15"/>
      <c r="P213" s="15"/>
      <c r="Q213" s="80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</row>
    <row r="214" ht="12.75" customHeight="1">
      <c r="A214" s="85"/>
      <c r="B214" s="88"/>
      <c r="C214" s="85"/>
      <c r="D214" s="85"/>
      <c r="E214" s="85"/>
      <c r="F214" s="85"/>
      <c r="G214" s="85"/>
      <c r="H214" s="85"/>
      <c r="I214" s="85"/>
      <c r="J214" s="85"/>
      <c r="K214" s="85"/>
      <c r="L214" s="89"/>
      <c r="M214" s="85"/>
    </row>
    <row r="215" ht="12.75" customHeight="1">
      <c r="A215" s="85"/>
      <c r="B215" s="88"/>
      <c r="C215" s="85"/>
      <c r="D215" s="85"/>
      <c r="E215" s="85"/>
      <c r="F215" s="85"/>
      <c r="G215" s="85"/>
      <c r="H215" s="85"/>
      <c r="I215" s="85"/>
      <c r="J215" s="85"/>
      <c r="K215" s="85"/>
      <c r="L215" s="89"/>
      <c r="M215" s="85"/>
    </row>
    <row r="216" ht="12.75" customHeight="1">
      <c r="A216" s="85"/>
      <c r="B216" s="88"/>
      <c r="C216" s="85"/>
      <c r="D216" s="85"/>
      <c r="E216" s="85"/>
      <c r="F216" s="85"/>
      <c r="G216" s="85"/>
      <c r="H216" s="85"/>
      <c r="I216" s="85"/>
      <c r="J216" s="85"/>
      <c r="K216" s="85"/>
      <c r="L216" s="89"/>
      <c r="M216" s="85"/>
    </row>
    <row r="217" ht="12.75" customHeight="1">
      <c r="B217" s="1"/>
      <c r="F217" s="85"/>
      <c r="G217" s="85"/>
      <c r="H217" s="85"/>
      <c r="I217" s="85"/>
      <c r="J217" s="85"/>
      <c r="K217" s="86"/>
      <c r="L217" s="89"/>
      <c r="M217" s="85"/>
    </row>
    <row r="218" ht="12.75" customHeight="1">
      <c r="B218" s="1"/>
      <c r="L218" s="3"/>
    </row>
    <row r="219" ht="12.75" customHeight="1">
      <c r="B219" s="1"/>
      <c r="L219" s="3"/>
    </row>
    <row r="220" ht="12.75" customHeight="1">
      <c r="B220" s="1"/>
      <c r="L220" s="3"/>
    </row>
    <row r="221" ht="12.75" customHeight="1">
      <c r="B221" s="1"/>
      <c r="L221" s="3"/>
    </row>
    <row r="222" ht="12.75" customHeight="1">
      <c r="B222" s="1"/>
      <c r="L222" s="3"/>
    </row>
    <row r="223" ht="12.75" customHeight="1">
      <c r="B223" s="1"/>
      <c r="L223" s="3"/>
    </row>
    <row r="224" ht="12.75" customHeight="1">
      <c r="B224" s="1"/>
      <c r="L224" s="3"/>
    </row>
    <row r="225" ht="12.75" customHeight="1">
      <c r="B225" s="1"/>
      <c r="L225" s="3"/>
    </row>
    <row r="226" ht="12.75" customHeight="1">
      <c r="B226" s="1"/>
      <c r="L226" s="3"/>
    </row>
    <row r="227" ht="12.75" customHeight="1">
      <c r="B227" s="1"/>
      <c r="L227" s="3"/>
    </row>
    <row r="228" ht="12.75" customHeight="1">
      <c r="B228" s="1"/>
      <c r="L228" s="3"/>
    </row>
    <row r="229" ht="12.75" customHeight="1">
      <c r="B229" s="1"/>
      <c r="L229" s="3"/>
    </row>
    <row r="230" ht="12.75" customHeight="1">
      <c r="B230" s="1"/>
      <c r="L230" s="3"/>
    </row>
    <row r="231" ht="12.75" customHeight="1">
      <c r="B231" s="1"/>
      <c r="L231" s="3"/>
    </row>
    <row r="232" ht="12.75" customHeight="1">
      <c r="B232" s="1"/>
      <c r="L232" s="3"/>
    </row>
    <row r="233" ht="12.75" customHeight="1">
      <c r="B233" s="1"/>
      <c r="L233" s="3"/>
    </row>
    <row r="234" ht="12.75" customHeight="1">
      <c r="B234" s="1"/>
      <c r="L234" s="3"/>
    </row>
    <row r="235" ht="12.75" customHeight="1">
      <c r="B235" s="1"/>
      <c r="L235" s="3"/>
    </row>
    <row r="236" ht="12.75" customHeight="1">
      <c r="B236" s="1"/>
      <c r="L236" s="3"/>
    </row>
    <row r="237" ht="12.75" customHeight="1">
      <c r="B237" s="1"/>
      <c r="L237" s="3"/>
    </row>
    <row r="238" ht="12.75" customHeight="1">
      <c r="B238" s="1"/>
      <c r="L238" s="3"/>
    </row>
    <row r="239" ht="12.75" customHeight="1">
      <c r="B239" s="1"/>
      <c r="L239" s="3"/>
    </row>
    <row r="240" ht="12.75" customHeight="1">
      <c r="B240" s="1"/>
      <c r="L240" s="3"/>
    </row>
    <row r="241" ht="12.75" customHeight="1">
      <c r="B241" s="1"/>
      <c r="L241" s="3"/>
    </row>
    <row r="242" ht="12.75" customHeight="1">
      <c r="B242" s="1"/>
      <c r="L242" s="3"/>
    </row>
    <row r="243" ht="12.75" customHeight="1">
      <c r="B243" s="1"/>
      <c r="L243" s="3"/>
    </row>
    <row r="244" ht="12.75" customHeight="1">
      <c r="B244" s="1"/>
      <c r="L244" s="3"/>
    </row>
    <row r="245" ht="12.75" customHeight="1">
      <c r="B245" s="1"/>
      <c r="L245" s="3"/>
    </row>
    <row r="246" ht="12.75" customHeight="1">
      <c r="B246" s="1"/>
      <c r="L246" s="3"/>
    </row>
    <row r="247" ht="12.75" customHeight="1">
      <c r="B247" s="1"/>
      <c r="L247" s="3"/>
    </row>
    <row r="248" ht="12.75" customHeight="1">
      <c r="B248" s="1"/>
      <c r="L248" s="3"/>
    </row>
    <row r="249" ht="12.75" customHeight="1">
      <c r="B249" s="1"/>
      <c r="L249" s="3"/>
    </row>
    <row r="250" ht="12.75" customHeight="1">
      <c r="B250" s="1"/>
      <c r="L250" s="3"/>
    </row>
    <row r="251" ht="12.75" customHeight="1">
      <c r="B251" s="1"/>
      <c r="L251" s="3"/>
    </row>
    <row r="252" ht="12.75" customHeight="1">
      <c r="B252" s="1"/>
      <c r="L252" s="3"/>
    </row>
    <row r="253" ht="12.75" customHeight="1">
      <c r="B253" s="1"/>
      <c r="L253" s="3"/>
    </row>
    <row r="254" ht="12.75" customHeight="1">
      <c r="B254" s="1"/>
      <c r="L254" s="3"/>
    </row>
    <row r="255" ht="12.75" customHeight="1">
      <c r="B255" s="1"/>
      <c r="L255" s="3"/>
    </row>
    <row r="256" ht="12.75" customHeight="1">
      <c r="B256" s="1"/>
      <c r="L256" s="3"/>
    </row>
    <row r="257" ht="12.75" customHeight="1">
      <c r="B257" s="1"/>
      <c r="L257" s="3"/>
    </row>
    <row r="258" ht="12.75" customHeight="1">
      <c r="B258" s="1"/>
      <c r="L258" s="3"/>
    </row>
    <row r="259" ht="12.75" customHeight="1">
      <c r="B259" s="1"/>
      <c r="L259" s="3"/>
    </row>
    <row r="260" ht="12.75" customHeight="1">
      <c r="B260" s="1"/>
      <c r="L260" s="3"/>
    </row>
    <row r="261" ht="12.75" customHeight="1">
      <c r="B261" s="1"/>
      <c r="L261" s="3"/>
    </row>
    <row r="262" ht="12.75" customHeight="1">
      <c r="B262" s="1"/>
      <c r="L262" s="3"/>
    </row>
    <row r="263" ht="12.75" customHeight="1">
      <c r="B263" s="1"/>
      <c r="L263" s="3"/>
    </row>
    <row r="264" ht="12.75" customHeight="1">
      <c r="B264" s="1"/>
      <c r="L264" s="3"/>
    </row>
    <row r="265" ht="12.75" customHeight="1">
      <c r="B265" s="1"/>
      <c r="L265" s="3"/>
    </row>
    <row r="266" ht="12.75" customHeight="1">
      <c r="B266" s="1"/>
      <c r="L266" s="3"/>
    </row>
    <row r="267" ht="12.75" customHeight="1">
      <c r="B267" s="1"/>
      <c r="L267" s="3"/>
    </row>
    <row r="268" ht="12.75" customHeight="1">
      <c r="B268" s="1"/>
      <c r="L268" s="3"/>
    </row>
    <row r="269" ht="12.75" customHeight="1">
      <c r="B269" s="1"/>
      <c r="L269" s="3"/>
    </row>
    <row r="270" ht="12.75" customHeight="1">
      <c r="B270" s="1"/>
      <c r="L270" s="3"/>
    </row>
    <row r="271" ht="12.75" customHeight="1">
      <c r="B271" s="1"/>
      <c r="L271" s="3"/>
    </row>
    <row r="272" ht="12.75" customHeight="1">
      <c r="B272" s="1"/>
      <c r="L272" s="3"/>
    </row>
    <row r="273" ht="12.75" customHeight="1">
      <c r="B273" s="1"/>
      <c r="L273" s="3"/>
    </row>
    <row r="274" ht="12.75" customHeight="1">
      <c r="B274" s="1"/>
      <c r="L274" s="3"/>
    </row>
    <row r="275" ht="12.75" customHeight="1">
      <c r="B275" s="1"/>
      <c r="L275" s="3"/>
    </row>
    <row r="276" ht="12.75" customHeight="1">
      <c r="B276" s="1"/>
      <c r="L276" s="3"/>
    </row>
    <row r="277" ht="12.75" customHeight="1">
      <c r="B277" s="1"/>
      <c r="L277" s="3"/>
    </row>
    <row r="278" ht="12.75" customHeight="1">
      <c r="B278" s="1"/>
      <c r="L278" s="3"/>
    </row>
    <row r="279" ht="12.75" customHeight="1">
      <c r="B279" s="1"/>
      <c r="L279" s="3"/>
    </row>
    <row r="280" ht="12.75" customHeight="1">
      <c r="B280" s="1"/>
      <c r="L280" s="3"/>
    </row>
    <row r="281" ht="12.75" customHeight="1">
      <c r="B281" s="1"/>
      <c r="L281" s="3"/>
    </row>
    <row r="282" ht="12.75" customHeight="1">
      <c r="B282" s="1"/>
      <c r="L282" s="3"/>
    </row>
    <row r="283" ht="12.75" customHeight="1">
      <c r="B283" s="1"/>
      <c r="L283" s="3"/>
    </row>
    <row r="284" ht="12.75" customHeight="1">
      <c r="B284" s="1"/>
      <c r="L284" s="3"/>
    </row>
    <row r="285" ht="12.75" customHeight="1">
      <c r="B285" s="1"/>
      <c r="L285" s="3"/>
    </row>
    <row r="286" ht="12.75" customHeight="1">
      <c r="B286" s="1"/>
      <c r="L286" s="3"/>
    </row>
    <row r="287" ht="12.75" customHeight="1">
      <c r="B287" s="1"/>
      <c r="L287" s="3"/>
    </row>
    <row r="288" ht="12.75" customHeight="1">
      <c r="B288" s="1"/>
      <c r="L288" s="3"/>
    </row>
    <row r="289" ht="12.75" customHeight="1">
      <c r="B289" s="1"/>
      <c r="L289" s="3"/>
    </row>
    <row r="290" ht="12.75" customHeight="1">
      <c r="B290" s="1"/>
      <c r="L290" s="3"/>
    </row>
    <row r="291" ht="12.75" customHeight="1">
      <c r="B291" s="1"/>
      <c r="L291" s="3"/>
    </row>
    <row r="292" ht="12.75" customHeight="1">
      <c r="B292" s="1"/>
      <c r="L292" s="3"/>
    </row>
    <row r="293" ht="12.75" customHeight="1">
      <c r="B293" s="1"/>
      <c r="L293" s="3"/>
    </row>
    <row r="294" ht="12.75" customHeight="1">
      <c r="B294" s="1"/>
      <c r="L294" s="3"/>
    </row>
    <row r="295" ht="12.75" customHeight="1">
      <c r="B295" s="1"/>
      <c r="L295" s="3"/>
    </row>
    <row r="296" ht="12.75" customHeight="1">
      <c r="B296" s="1"/>
      <c r="L296" s="3"/>
    </row>
    <row r="297" ht="12.75" customHeight="1">
      <c r="B297" s="1"/>
      <c r="L297" s="3"/>
    </row>
    <row r="298" ht="12.75" customHeight="1">
      <c r="B298" s="1"/>
      <c r="L298" s="3"/>
    </row>
    <row r="299" ht="12.75" customHeight="1">
      <c r="B299" s="1"/>
      <c r="L299" s="3"/>
    </row>
    <row r="300" ht="12.75" customHeight="1">
      <c r="B300" s="1"/>
      <c r="L300" s="3"/>
    </row>
    <row r="301" ht="12.75" customHeight="1">
      <c r="B301" s="1"/>
      <c r="L301" s="3"/>
    </row>
    <row r="302" ht="12.75" customHeight="1">
      <c r="B302" s="1"/>
      <c r="L302" s="3"/>
    </row>
    <row r="303" ht="12.75" customHeight="1">
      <c r="B303" s="1"/>
      <c r="L303" s="3"/>
    </row>
    <row r="304" ht="12.75" customHeight="1">
      <c r="B304" s="1"/>
      <c r="L304" s="3"/>
    </row>
    <row r="305" ht="12.75" customHeight="1">
      <c r="B305" s="1"/>
      <c r="L305" s="3"/>
    </row>
    <row r="306" ht="12.75" customHeight="1">
      <c r="B306" s="1"/>
      <c r="L306" s="3"/>
    </row>
    <row r="307" ht="12.75" customHeight="1">
      <c r="B307" s="1"/>
      <c r="L307" s="3"/>
    </row>
    <row r="308" ht="12.75" customHeight="1">
      <c r="B308" s="1"/>
      <c r="L308" s="3"/>
    </row>
    <row r="309" ht="12.75" customHeight="1">
      <c r="B309" s="1"/>
      <c r="L309" s="3"/>
    </row>
    <row r="310" ht="12.75" customHeight="1">
      <c r="B310" s="1"/>
      <c r="L310" s="3"/>
    </row>
    <row r="311" ht="12.75" customHeight="1">
      <c r="B311" s="1"/>
      <c r="L311" s="3"/>
    </row>
    <row r="312" ht="12.75" customHeight="1">
      <c r="B312" s="1"/>
      <c r="L312" s="3"/>
    </row>
    <row r="313" ht="12.75" customHeight="1">
      <c r="B313" s="1"/>
      <c r="L313" s="3"/>
    </row>
    <row r="314" ht="12.75" customHeight="1">
      <c r="B314" s="1"/>
      <c r="L314" s="3"/>
    </row>
    <row r="315" ht="12.75" customHeight="1">
      <c r="B315" s="1"/>
      <c r="L315" s="3"/>
    </row>
    <row r="316" ht="12.75" customHeight="1">
      <c r="B316" s="1"/>
      <c r="L316" s="3"/>
    </row>
    <row r="317" ht="12.75" customHeight="1">
      <c r="B317" s="1"/>
      <c r="L317" s="3"/>
    </row>
    <row r="318" ht="12.75" customHeight="1">
      <c r="B318" s="1"/>
      <c r="L318" s="3"/>
    </row>
    <row r="319" ht="12.75" customHeight="1">
      <c r="B319" s="1"/>
      <c r="L319" s="3"/>
    </row>
    <row r="320" ht="12.75" customHeight="1">
      <c r="B320" s="1"/>
      <c r="L320" s="3"/>
    </row>
    <row r="321" ht="12.75" customHeight="1">
      <c r="B321" s="1"/>
      <c r="L321" s="3"/>
    </row>
    <row r="322" ht="12.75" customHeight="1">
      <c r="B322" s="1"/>
      <c r="L322" s="3"/>
    </row>
    <row r="323" ht="12.75" customHeight="1">
      <c r="B323" s="1"/>
      <c r="L323" s="3"/>
    </row>
    <row r="324" ht="12.75" customHeight="1">
      <c r="B324" s="1"/>
      <c r="L324" s="3"/>
    </row>
    <row r="325" ht="12.75" customHeight="1">
      <c r="B325" s="1"/>
      <c r="L325" s="3"/>
    </row>
    <row r="326" ht="12.75" customHeight="1">
      <c r="B326" s="1"/>
      <c r="L326" s="3"/>
    </row>
    <row r="327" ht="12.75" customHeight="1">
      <c r="B327" s="1"/>
      <c r="L327" s="3"/>
    </row>
    <row r="328" ht="12.75" customHeight="1">
      <c r="B328" s="1"/>
      <c r="L328" s="3"/>
    </row>
    <row r="329" ht="12.75" customHeight="1">
      <c r="B329" s="1"/>
      <c r="L329" s="3"/>
    </row>
    <row r="330" ht="12.75" customHeight="1">
      <c r="B330" s="1"/>
      <c r="L330" s="3"/>
    </row>
    <row r="331" ht="12.75" customHeight="1">
      <c r="B331" s="1"/>
      <c r="L331" s="3"/>
    </row>
    <row r="332" ht="12.75" customHeight="1">
      <c r="B332" s="1"/>
      <c r="L332" s="3"/>
    </row>
    <row r="333" ht="12.75" customHeight="1">
      <c r="B333" s="1"/>
      <c r="L333" s="3"/>
    </row>
    <row r="334" ht="12.75" customHeight="1">
      <c r="B334" s="1"/>
      <c r="L334" s="3"/>
    </row>
    <row r="335" ht="12.75" customHeight="1">
      <c r="B335" s="1"/>
      <c r="L335" s="3"/>
    </row>
    <row r="336" ht="12.75" customHeight="1">
      <c r="B336" s="1"/>
      <c r="L336" s="3"/>
    </row>
    <row r="337" ht="12.75" customHeight="1">
      <c r="B337" s="1"/>
      <c r="L337" s="3"/>
    </row>
    <row r="338" ht="12.75" customHeight="1">
      <c r="B338" s="1"/>
      <c r="L338" s="3"/>
    </row>
    <row r="339" ht="12.75" customHeight="1">
      <c r="B339" s="1"/>
      <c r="L339" s="3"/>
    </row>
    <row r="340" ht="12.75" customHeight="1">
      <c r="B340" s="1"/>
      <c r="L340" s="3"/>
    </row>
    <row r="341" ht="12.75" customHeight="1">
      <c r="B341" s="1"/>
      <c r="L341" s="3"/>
    </row>
    <row r="342" ht="12.75" customHeight="1">
      <c r="B342" s="1"/>
      <c r="L342" s="3"/>
    </row>
    <row r="343" ht="12.75" customHeight="1">
      <c r="B343" s="1"/>
      <c r="L343" s="3"/>
    </row>
    <row r="344" ht="12.75" customHeight="1">
      <c r="B344" s="1"/>
      <c r="L344" s="3"/>
    </row>
    <row r="345" ht="12.75" customHeight="1">
      <c r="B345" s="1"/>
      <c r="L345" s="3"/>
    </row>
    <row r="346" ht="12.75" customHeight="1">
      <c r="B346" s="1"/>
      <c r="L346" s="3"/>
    </row>
    <row r="347" ht="12.75" customHeight="1">
      <c r="B347" s="1"/>
      <c r="L347" s="3"/>
    </row>
    <row r="348" ht="12.75" customHeight="1">
      <c r="B348" s="1"/>
      <c r="L348" s="3"/>
    </row>
    <row r="349" ht="12.75" customHeight="1">
      <c r="B349" s="1"/>
      <c r="L349" s="3"/>
    </row>
    <row r="350" ht="12.75" customHeight="1">
      <c r="B350" s="1"/>
      <c r="L350" s="3"/>
    </row>
    <row r="351" ht="12.75" customHeight="1">
      <c r="B351" s="1"/>
      <c r="L351" s="3"/>
    </row>
    <row r="352" ht="12.75" customHeight="1">
      <c r="B352" s="1"/>
      <c r="L352" s="3"/>
    </row>
    <row r="353" ht="12.75" customHeight="1">
      <c r="B353" s="1"/>
      <c r="L353" s="3"/>
    </row>
    <row r="354" ht="12.75" customHeight="1">
      <c r="B354" s="1"/>
      <c r="L354" s="3"/>
    </row>
    <row r="355" ht="12.75" customHeight="1">
      <c r="B355" s="1"/>
      <c r="L355" s="3"/>
    </row>
    <row r="356" ht="12.75" customHeight="1">
      <c r="B356" s="1"/>
      <c r="L356" s="3"/>
    </row>
    <row r="357" ht="12.75" customHeight="1">
      <c r="B357" s="1"/>
      <c r="L357" s="3"/>
    </row>
    <row r="358" ht="12.75" customHeight="1">
      <c r="B358" s="1"/>
      <c r="L358" s="3"/>
    </row>
    <row r="359" ht="12.75" customHeight="1">
      <c r="B359" s="1"/>
      <c r="L359" s="3"/>
    </row>
    <row r="360" ht="12.75" customHeight="1">
      <c r="B360" s="1"/>
      <c r="L360" s="3"/>
    </row>
    <row r="361" ht="12.75" customHeight="1">
      <c r="B361" s="1"/>
      <c r="L361" s="3"/>
    </row>
    <row r="362" ht="12.75" customHeight="1">
      <c r="B362" s="1"/>
      <c r="L362" s="3"/>
    </row>
    <row r="363" ht="12.75" customHeight="1">
      <c r="B363" s="1"/>
      <c r="L363" s="3"/>
    </row>
    <row r="364" ht="12.75" customHeight="1">
      <c r="B364" s="1"/>
      <c r="L364" s="3"/>
    </row>
    <row r="365" ht="12.75" customHeight="1">
      <c r="B365" s="1"/>
      <c r="L365" s="3"/>
    </row>
    <row r="366" ht="12.75" customHeight="1">
      <c r="B366" s="1"/>
      <c r="L366" s="3"/>
    </row>
    <row r="367" ht="12.75" customHeight="1">
      <c r="B367" s="1"/>
      <c r="L367" s="3"/>
    </row>
    <row r="368" ht="12.75" customHeight="1">
      <c r="B368" s="1"/>
      <c r="L368" s="3"/>
    </row>
    <row r="369" ht="12.75" customHeight="1">
      <c r="B369" s="1"/>
      <c r="L369" s="3"/>
    </row>
    <row r="370" ht="12.75" customHeight="1">
      <c r="B370" s="1"/>
      <c r="L370" s="3"/>
    </row>
    <row r="371" ht="12.75" customHeight="1">
      <c r="B371" s="1"/>
      <c r="L371" s="3"/>
    </row>
    <row r="372" ht="12.75" customHeight="1">
      <c r="B372" s="1"/>
      <c r="L372" s="3"/>
    </row>
    <row r="373" ht="12.75" customHeight="1">
      <c r="B373" s="1"/>
      <c r="L373" s="3"/>
    </row>
    <row r="374" ht="12.75" customHeight="1">
      <c r="B374" s="1"/>
      <c r="L374" s="3"/>
    </row>
    <row r="375" ht="12.75" customHeight="1">
      <c r="B375" s="1"/>
      <c r="L375" s="3"/>
    </row>
    <row r="376" ht="12.75" customHeight="1">
      <c r="B376" s="1"/>
      <c r="L376" s="3"/>
    </row>
    <row r="377" ht="12.75" customHeight="1">
      <c r="B377" s="1"/>
      <c r="L377" s="3"/>
    </row>
    <row r="378" ht="12.75" customHeight="1">
      <c r="B378" s="1"/>
      <c r="L378" s="3"/>
    </row>
    <row r="379" ht="12.75" customHeight="1">
      <c r="B379" s="1"/>
      <c r="L379" s="3"/>
    </row>
    <row r="380" ht="12.75" customHeight="1">
      <c r="B380" s="1"/>
      <c r="L380" s="3"/>
    </row>
    <row r="381" ht="12.75" customHeight="1">
      <c r="B381" s="1"/>
      <c r="L381" s="3"/>
    </row>
    <row r="382" ht="12.75" customHeight="1">
      <c r="B382" s="1"/>
      <c r="L382" s="3"/>
    </row>
    <row r="383" ht="12.75" customHeight="1">
      <c r="B383" s="1"/>
      <c r="L383" s="3"/>
    </row>
    <row r="384" ht="12.75" customHeight="1">
      <c r="B384" s="1"/>
      <c r="L384" s="3"/>
    </row>
    <row r="385" ht="12.75" customHeight="1">
      <c r="B385" s="1"/>
      <c r="L385" s="3"/>
    </row>
    <row r="386" ht="12.75" customHeight="1">
      <c r="B386" s="1"/>
      <c r="L386" s="3"/>
    </row>
    <row r="387" ht="12.75" customHeight="1">
      <c r="B387" s="1"/>
      <c r="L387" s="3"/>
    </row>
    <row r="388" ht="12.75" customHeight="1">
      <c r="B388" s="1"/>
      <c r="L388" s="3"/>
    </row>
    <row r="389" ht="12.75" customHeight="1">
      <c r="B389" s="1"/>
      <c r="L389" s="3"/>
    </row>
    <row r="390" ht="12.75" customHeight="1">
      <c r="B390" s="1"/>
      <c r="L390" s="3"/>
    </row>
    <row r="391" ht="12.75" customHeight="1">
      <c r="B391" s="1"/>
      <c r="L391" s="3"/>
    </row>
    <row r="392" ht="12.75" customHeight="1">
      <c r="B392" s="1"/>
      <c r="L392" s="3"/>
    </row>
    <row r="393" ht="12.75" customHeight="1">
      <c r="B393" s="1"/>
      <c r="L393" s="3"/>
    </row>
    <row r="394" ht="12.75" customHeight="1">
      <c r="B394" s="1"/>
      <c r="L394" s="3"/>
    </row>
    <row r="395" ht="12.75" customHeight="1">
      <c r="B395" s="1"/>
      <c r="L395" s="3"/>
    </row>
    <row r="396" ht="12.75" customHeight="1">
      <c r="B396" s="1"/>
      <c r="L396" s="3"/>
    </row>
    <row r="397" ht="12.75" customHeight="1">
      <c r="B397" s="1"/>
      <c r="L397" s="3"/>
    </row>
    <row r="398" ht="12.75" customHeight="1">
      <c r="B398" s="1"/>
      <c r="L398" s="3"/>
    </row>
    <row r="399" ht="12.75" customHeight="1">
      <c r="B399" s="1"/>
      <c r="L399" s="3"/>
    </row>
    <row r="400" ht="12.75" customHeight="1">
      <c r="B400" s="1"/>
      <c r="L400" s="3"/>
    </row>
    <row r="401" ht="12.75" customHeight="1">
      <c r="B401" s="1"/>
      <c r="L401" s="3"/>
    </row>
    <row r="402" ht="12.75" customHeight="1">
      <c r="B402" s="1"/>
      <c r="L402" s="3"/>
    </row>
    <row r="403" ht="12.75" customHeight="1">
      <c r="B403" s="1"/>
      <c r="L403" s="3"/>
    </row>
    <row r="404" ht="12.75" customHeight="1">
      <c r="B404" s="1"/>
      <c r="L404" s="3"/>
    </row>
    <row r="405" ht="12.75" customHeight="1">
      <c r="B405" s="1"/>
      <c r="L405" s="3"/>
    </row>
    <row r="406" ht="12.75" customHeight="1">
      <c r="B406" s="1"/>
      <c r="L406" s="3"/>
    </row>
    <row r="407" ht="12.75" customHeight="1">
      <c r="B407" s="1"/>
      <c r="L407" s="3"/>
    </row>
    <row r="408" ht="12.75" customHeight="1">
      <c r="B408" s="1"/>
      <c r="L408" s="3"/>
    </row>
    <row r="409" ht="12.75" customHeight="1">
      <c r="B409" s="1"/>
      <c r="L409" s="3"/>
    </row>
    <row r="410" ht="12.75" customHeight="1">
      <c r="B410" s="1"/>
      <c r="L410" s="3"/>
    </row>
    <row r="411" ht="12.75" customHeight="1">
      <c r="B411" s="1"/>
      <c r="L411" s="3"/>
    </row>
    <row r="412" ht="12.75" customHeight="1">
      <c r="B412" s="1"/>
      <c r="L412" s="3"/>
    </row>
    <row r="413" ht="12.75" customHeight="1">
      <c r="B413" s="1"/>
      <c r="L413" s="3"/>
    </row>
    <row r="414" ht="12.75" customHeight="1">
      <c r="B414" s="1"/>
      <c r="L414" s="3"/>
    </row>
    <row r="415" ht="12.75" customHeight="1">
      <c r="B415" s="1"/>
      <c r="L415" s="3"/>
    </row>
    <row r="416" ht="12.75" customHeight="1">
      <c r="B416" s="1"/>
      <c r="L416" s="3"/>
    </row>
    <row r="417" ht="12.75" customHeight="1">
      <c r="B417" s="1"/>
      <c r="L417" s="3"/>
    </row>
    <row r="418" ht="15.75" customHeight="1">
      <c r="L418" s="90"/>
    </row>
    <row r="419" ht="15.75" customHeight="1">
      <c r="L419" s="90"/>
    </row>
    <row r="420" ht="15.75" customHeight="1">
      <c r="L420" s="90"/>
    </row>
    <row r="421" ht="15.75" customHeight="1">
      <c r="L421" s="90"/>
    </row>
    <row r="422" ht="15.75" customHeight="1">
      <c r="L422" s="90"/>
    </row>
    <row r="423" ht="15.75" customHeight="1">
      <c r="L423" s="90"/>
    </row>
    <row r="424" ht="15.75" customHeight="1">
      <c r="L424" s="90"/>
    </row>
    <row r="425" ht="15.75" customHeight="1">
      <c r="L425" s="90"/>
    </row>
    <row r="426" ht="15.75" customHeight="1">
      <c r="L426" s="90"/>
    </row>
    <row r="427" ht="15.75" customHeight="1">
      <c r="L427" s="90"/>
    </row>
    <row r="428" ht="15.75" customHeight="1">
      <c r="L428" s="90"/>
    </row>
    <row r="429" ht="15.75" customHeight="1">
      <c r="L429" s="90"/>
    </row>
    <row r="430" ht="15.75" customHeight="1">
      <c r="L430" s="90"/>
    </row>
    <row r="431" ht="15.75" customHeight="1">
      <c r="L431" s="90"/>
    </row>
    <row r="432" ht="15.75" customHeight="1">
      <c r="L432" s="90"/>
    </row>
    <row r="433" ht="15.75" customHeight="1">
      <c r="L433" s="90"/>
    </row>
    <row r="434" ht="15.75" customHeight="1">
      <c r="L434" s="90"/>
    </row>
    <row r="435" ht="15.75" customHeight="1">
      <c r="L435" s="90"/>
    </row>
    <row r="436" ht="15.75" customHeight="1">
      <c r="L436" s="90"/>
    </row>
    <row r="437" ht="15.75" customHeight="1">
      <c r="L437" s="90"/>
    </row>
    <row r="438" ht="15.75" customHeight="1">
      <c r="L438" s="90"/>
    </row>
    <row r="439" ht="15.75" customHeight="1">
      <c r="L439" s="90"/>
    </row>
    <row r="440" ht="15.75" customHeight="1">
      <c r="L440" s="90"/>
    </row>
    <row r="441" ht="15.75" customHeight="1">
      <c r="L441" s="90"/>
    </row>
    <row r="442" ht="15.75" customHeight="1">
      <c r="L442" s="90"/>
    </row>
    <row r="443" ht="15.75" customHeight="1">
      <c r="L443" s="90"/>
    </row>
    <row r="444" ht="15.75" customHeight="1">
      <c r="L444" s="90"/>
    </row>
    <row r="445" ht="15.75" customHeight="1">
      <c r="L445" s="90"/>
    </row>
    <row r="446" ht="15.75" customHeight="1">
      <c r="L446" s="90"/>
    </row>
    <row r="447" ht="15.75" customHeight="1">
      <c r="L447" s="90"/>
    </row>
    <row r="448" ht="15.75" customHeight="1">
      <c r="L448" s="90"/>
    </row>
    <row r="449" ht="15.75" customHeight="1">
      <c r="L449" s="90"/>
    </row>
    <row r="450" ht="15.75" customHeight="1">
      <c r="L450" s="90"/>
    </row>
    <row r="451" ht="15.75" customHeight="1">
      <c r="L451" s="90"/>
    </row>
    <row r="452" ht="15.75" customHeight="1">
      <c r="L452" s="90"/>
    </row>
    <row r="453" ht="15.75" customHeight="1">
      <c r="L453" s="90"/>
    </row>
    <row r="454" ht="15.75" customHeight="1">
      <c r="L454" s="90"/>
    </row>
    <row r="455" ht="15.75" customHeight="1">
      <c r="L455" s="90"/>
    </row>
    <row r="456" ht="15.75" customHeight="1">
      <c r="L456" s="90"/>
    </row>
    <row r="457" ht="15.75" customHeight="1">
      <c r="L457" s="90"/>
    </row>
    <row r="458" ht="15.75" customHeight="1">
      <c r="L458" s="90"/>
    </row>
    <row r="459" ht="15.75" customHeight="1">
      <c r="L459" s="90"/>
    </row>
    <row r="460" ht="15.75" customHeight="1">
      <c r="L460" s="90"/>
    </row>
    <row r="461" ht="15.75" customHeight="1">
      <c r="L461" s="90"/>
    </row>
    <row r="462" ht="15.75" customHeight="1">
      <c r="L462" s="90"/>
    </row>
    <row r="463" ht="15.75" customHeight="1">
      <c r="L463" s="90"/>
    </row>
    <row r="464" ht="15.75" customHeight="1">
      <c r="L464" s="90"/>
    </row>
    <row r="465" ht="15.75" customHeight="1">
      <c r="L465" s="90"/>
    </row>
    <row r="466" ht="15.75" customHeight="1">
      <c r="L466" s="90"/>
    </row>
    <row r="467" ht="15.75" customHeight="1">
      <c r="L467" s="90"/>
    </row>
    <row r="468" ht="15.75" customHeight="1">
      <c r="L468" s="90"/>
    </row>
    <row r="469" ht="15.75" customHeight="1">
      <c r="L469" s="90"/>
    </row>
    <row r="470" ht="15.75" customHeight="1">
      <c r="L470" s="90"/>
    </row>
    <row r="471" ht="15.75" customHeight="1">
      <c r="L471" s="90"/>
    </row>
    <row r="472" ht="15.75" customHeight="1">
      <c r="L472" s="90"/>
    </row>
    <row r="473" ht="15.75" customHeight="1">
      <c r="L473" s="90"/>
    </row>
    <row r="474" ht="15.75" customHeight="1">
      <c r="L474" s="90"/>
    </row>
    <row r="475" ht="15.75" customHeight="1">
      <c r="L475" s="90"/>
    </row>
    <row r="476" ht="15.75" customHeight="1">
      <c r="L476" s="90"/>
    </row>
    <row r="477" ht="15.75" customHeight="1">
      <c r="L477" s="90"/>
    </row>
    <row r="478" ht="15.75" customHeight="1">
      <c r="L478" s="90"/>
    </row>
    <row r="479" ht="15.75" customHeight="1">
      <c r="L479" s="90"/>
    </row>
    <row r="480" ht="15.75" customHeight="1">
      <c r="L480" s="90"/>
    </row>
    <row r="481" ht="15.75" customHeight="1">
      <c r="L481" s="90"/>
    </row>
    <row r="482" ht="15.75" customHeight="1">
      <c r="L482" s="90"/>
    </row>
    <row r="483" ht="15.75" customHeight="1">
      <c r="L483" s="90"/>
    </row>
    <row r="484" ht="15.75" customHeight="1">
      <c r="L484" s="90"/>
    </row>
    <row r="485" ht="15.75" customHeight="1">
      <c r="L485" s="90"/>
    </row>
    <row r="486" ht="15.75" customHeight="1">
      <c r="L486" s="90"/>
    </row>
    <row r="487" ht="15.75" customHeight="1">
      <c r="L487" s="90"/>
    </row>
    <row r="488" ht="15.75" customHeight="1">
      <c r="L488" s="90"/>
    </row>
    <row r="489" ht="15.75" customHeight="1">
      <c r="L489" s="90"/>
    </row>
    <row r="490" ht="15.75" customHeight="1">
      <c r="L490" s="90"/>
    </row>
    <row r="491" ht="15.75" customHeight="1">
      <c r="L491" s="90"/>
    </row>
    <row r="492" ht="15.75" customHeight="1">
      <c r="L492" s="90"/>
    </row>
    <row r="493" ht="15.75" customHeight="1">
      <c r="L493" s="90"/>
    </row>
    <row r="494" ht="15.75" customHeight="1">
      <c r="L494" s="90"/>
    </row>
    <row r="495" ht="15.75" customHeight="1">
      <c r="L495" s="90"/>
    </row>
    <row r="496" ht="15.75" customHeight="1">
      <c r="L496" s="90"/>
    </row>
    <row r="497" ht="15.75" customHeight="1">
      <c r="L497" s="90"/>
    </row>
    <row r="498" ht="15.75" customHeight="1">
      <c r="L498" s="90"/>
    </row>
    <row r="499" ht="15.75" customHeight="1">
      <c r="L499" s="90"/>
    </row>
    <row r="500" ht="15.75" customHeight="1">
      <c r="L500" s="90"/>
    </row>
    <row r="501" ht="15.75" customHeight="1">
      <c r="L501" s="90"/>
    </row>
    <row r="502" ht="15.75" customHeight="1">
      <c r="L502" s="90"/>
    </row>
    <row r="503" ht="15.75" customHeight="1">
      <c r="L503" s="90"/>
    </row>
    <row r="504" ht="15.75" customHeight="1">
      <c r="L504" s="90"/>
    </row>
    <row r="505" ht="15.75" customHeight="1">
      <c r="L505" s="90"/>
    </row>
    <row r="506" ht="15.75" customHeight="1">
      <c r="L506" s="90"/>
    </row>
    <row r="507" ht="15.75" customHeight="1">
      <c r="L507" s="90"/>
    </row>
    <row r="508" ht="15.75" customHeight="1">
      <c r="L508" s="90"/>
    </row>
    <row r="509" ht="15.75" customHeight="1">
      <c r="L509" s="90"/>
    </row>
    <row r="510" ht="15.75" customHeight="1">
      <c r="L510" s="90"/>
    </row>
    <row r="511" ht="15.75" customHeight="1">
      <c r="L511" s="90"/>
    </row>
    <row r="512" ht="15.75" customHeight="1">
      <c r="L512" s="90"/>
    </row>
    <row r="513" ht="15.75" customHeight="1">
      <c r="L513" s="90"/>
    </row>
    <row r="514" ht="15.75" customHeight="1">
      <c r="L514" s="90"/>
    </row>
    <row r="515" ht="15.75" customHeight="1">
      <c r="L515" s="90"/>
    </row>
    <row r="516" ht="15.75" customHeight="1">
      <c r="L516" s="90"/>
    </row>
    <row r="517" ht="15.75" customHeight="1">
      <c r="L517" s="90"/>
    </row>
    <row r="518" ht="15.75" customHeight="1">
      <c r="L518" s="90"/>
    </row>
    <row r="519" ht="15.75" customHeight="1">
      <c r="L519" s="90"/>
    </row>
    <row r="520" ht="15.75" customHeight="1">
      <c r="L520" s="90"/>
    </row>
    <row r="521" ht="15.75" customHeight="1">
      <c r="L521" s="90"/>
    </row>
    <row r="522" ht="15.75" customHeight="1">
      <c r="L522" s="90"/>
    </row>
    <row r="523" ht="15.75" customHeight="1">
      <c r="L523" s="90"/>
    </row>
    <row r="524" ht="15.75" customHeight="1">
      <c r="L524" s="90"/>
    </row>
    <row r="525" ht="15.75" customHeight="1">
      <c r="L525" s="90"/>
    </row>
    <row r="526" ht="15.75" customHeight="1">
      <c r="L526" s="90"/>
    </row>
    <row r="527" ht="15.75" customHeight="1">
      <c r="L527" s="90"/>
    </row>
    <row r="528" ht="15.75" customHeight="1">
      <c r="L528" s="90"/>
    </row>
    <row r="529" ht="15.75" customHeight="1">
      <c r="L529" s="90"/>
    </row>
    <row r="530" ht="15.75" customHeight="1">
      <c r="L530" s="90"/>
    </row>
    <row r="531" ht="15.75" customHeight="1">
      <c r="L531" s="90"/>
    </row>
    <row r="532" ht="15.75" customHeight="1">
      <c r="L532" s="90"/>
    </row>
    <row r="533" ht="15.75" customHeight="1">
      <c r="L533" s="90"/>
    </row>
    <row r="534" ht="15.75" customHeight="1">
      <c r="L534" s="90"/>
    </row>
    <row r="535" ht="15.75" customHeight="1">
      <c r="L535" s="90"/>
    </row>
    <row r="536" ht="15.75" customHeight="1">
      <c r="L536" s="90"/>
    </row>
    <row r="537" ht="15.75" customHeight="1">
      <c r="L537" s="90"/>
    </row>
    <row r="538" ht="15.75" customHeight="1">
      <c r="L538" s="90"/>
    </row>
    <row r="539" ht="15.75" customHeight="1">
      <c r="L539" s="90"/>
    </row>
    <row r="540" ht="15.75" customHeight="1">
      <c r="L540" s="90"/>
    </row>
    <row r="541" ht="15.75" customHeight="1">
      <c r="L541" s="90"/>
    </row>
    <row r="542" ht="15.75" customHeight="1">
      <c r="L542" s="90"/>
    </row>
    <row r="543" ht="15.75" customHeight="1">
      <c r="L543" s="90"/>
    </row>
    <row r="544" ht="15.75" customHeight="1">
      <c r="L544" s="90"/>
    </row>
    <row r="545" ht="15.75" customHeight="1">
      <c r="L545" s="90"/>
    </row>
    <row r="546" ht="15.75" customHeight="1">
      <c r="L546" s="90"/>
    </row>
    <row r="547" ht="15.75" customHeight="1">
      <c r="L547" s="90"/>
    </row>
    <row r="548" ht="15.75" customHeight="1">
      <c r="L548" s="90"/>
    </row>
    <row r="549" ht="15.75" customHeight="1">
      <c r="L549" s="90"/>
    </row>
    <row r="550" ht="15.75" customHeight="1">
      <c r="L550" s="90"/>
    </row>
    <row r="551" ht="15.75" customHeight="1">
      <c r="L551" s="90"/>
    </row>
    <row r="552" ht="15.75" customHeight="1">
      <c r="L552" s="90"/>
    </row>
    <row r="553" ht="15.75" customHeight="1">
      <c r="L553" s="90"/>
    </row>
    <row r="554" ht="15.75" customHeight="1">
      <c r="L554" s="90"/>
    </row>
    <row r="555" ht="15.75" customHeight="1">
      <c r="L555" s="90"/>
    </row>
    <row r="556" ht="15.75" customHeight="1">
      <c r="L556" s="90"/>
    </row>
    <row r="557" ht="15.75" customHeight="1">
      <c r="L557" s="90"/>
    </row>
    <row r="558" ht="15.75" customHeight="1">
      <c r="L558" s="90"/>
    </row>
    <row r="559" ht="15.75" customHeight="1">
      <c r="L559" s="90"/>
    </row>
    <row r="560" ht="15.75" customHeight="1">
      <c r="L560" s="90"/>
    </row>
    <row r="561" ht="15.75" customHeight="1">
      <c r="L561" s="90"/>
    </row>
    <row r="562" ht="15.75" customHeight="1">
      <c r="L562" s="90"/>
    </row>
    <row r="563" ht="15.75" customHeight="1">
      <c r="L563" s="90"/>
    </row>
    <row r="564" ht="15.75" customHeight="1">
      <c r="L564" s="90"/>
    </row>
    <row r="565" ht="15.75" customHeight="1">
      <c r="L565" s="90"/>
    </row>
    <row r="566" ht="15.75" customHeight="1">
      <c r="L566" s="90"/>
    </row>
    <row r="567" ht="15.75" customHeight="1">
      <c r="L567" s="90"/>
    </row>
    <row r="568" ht="15.75" customHeight="1">
      <c r="L568" s="90"/>
    </row>
    <row r="569" ht="15.75" customHeight="1">
      <c r="L569" s="90"/>
    </row>
    <row r="570" ht="15.75" customHeight="1">
      <c r="L570" s="90"/>
    </row>
    <row r="571" ht="15.75" customHeight="1">
      <c r="L571" s="90"/>
    </row>
    <row r="572" ht="15.75" customHeight="1">
      <c r="L572" s="90"/>
    </row>
    <row r="573" ht="15.75" customHeight="1">
      <c r="L573" s="90"/>
    </row>
    <row r="574" ht="15.75" customHeight="1">
      <c r="L574" s="90"/>
    </row>
    <row r="575" ht="15.75" customHeight="1">
      <c r="L575" s="90"/>
    </row>
    <row r="576" ht="15.75" customHeight="1">
      <c r="L576" s="90"/>
    </row>
    <row r="577" ht="15.75" customHeight="1">
      <c r="L577" s="90"/>
    </row>
    <row r="578" ht="15.75" customHeight="1">
      <c r="L578" s="90"/>
    </row>
    <row r="579" ht="15.75" customHeight="1">
      <c r="L579" s="90"/>
    </row>
    <row r="580" ht="15.75" customHeight="1">
      <c r="L580" s="90"/>
    </row>
    <row r="581" ht="15.75" customHeight="1">
      <c r="L581" s="90"/>
    </row>
    <row r="582" ht="15.75" customHeight="1">
      <c r="L582" s="90"/>
    </row>
    <row r="583" ht="15.75" customHeight="1">
      <c r="L583" s="90"/>
    </row>
    <row r="584" ht="15.75" customHeight="1">
      <c r="L584" s="90"/>
    </row>
    <row r="585" ht="15.75" customHeight="1">
      <c r="L585" s="90"/>
    </row>
    <row r="586" ht="15.75" customHeight="1">
      <c r="L586" s="90"/>
    </row>
    <row r="587" ht="15.75" customHeight="1">
      <c r="L587" s="90"/>
    </row>
    <row r="588" ht="15.75" customHeight="1">
      <c r="L588" s="90"/>
    </row>
    <row r="589" ht="15.75" customHeight="1">
      <c r="L589" s="90"/>
    </row>
    <row r="590" ht="15.75" customHeight="1">
      <c r="L590" s="90"/>
    </row>
    <row r="591" ht="15.75" customHeight="1">
      <c r="L591" s="90"/>
    </row>
    <row r="592" ht="15.75" customHeight="1">
      <c r="L592" s="90"/>
    </row>
    <row r="593" ht="15.75" customHeight="1">
      <c r="L593" s="90"/>
    </row>
    <row r="594" ht="15.75" customHeight="1">
      <c r="L594" s="90"/>
    </row>
    <row r="595" ht="15.75" customHeight="1">
      <c r="L595" s="90"/>
    </row>
    <row r="596" ht="15.75" customHeight="1">
      <c r="L596" s="90"/>
    </row>
    <row r="597" ht="15.75" customHeight="1">
      <c r="L597" s="90"/>
    </row>
    <row r="598" ht="15.75" customHeight="1">
      <c r="L598" s="90"/>
    </row>
    <row r="599" ht="15.75" customHeight="1">
      <c r="L599" s="90"/>
    </row>
    <row r="600" ht="15.75" customHeight="1">
      <c r="L600" s="90"/>
    </row>
    <row r="601" ht="15.75" customHeight="1">
      <c r="L601" s="90"/>
    </row>
    <row r="602" ht="15.75" customHeight="1">
      <c r="L602" s="90"/>
    </row>
    <row r="603" ht="15.75" customHeight="1">
      <c r="L603" s="90"/>
    </row>
    <row r="604" ht="15.75" customHeight="1">
      <c r="L604" s="90"/>
    </row>
    <row r="605" ht="15.75" customHeight="1">
      <c r="L605" s="90"/>
    </row>
    <row r="606" ht="15.75" customHeight="1">
      <c r="L606" s="90"/>
    </row>
    <row r="607" ht="15.75" customHeight="1">
      <c r="L607" s="90"/>
    </row>
    <row r="608" ht="15.75" customHeight="1">
      <c r="L608" s="90"/>
    </row>
    <row r="609" ht="15.75" customHeight="1">
      <c r="L609" s="90"/>
    </row>
    <row r="610" ht="15.75" customHeight="1">
      <c r="L610" s="90"/>
    </row>
    <row r="611" ht="15.75" customHeight="1">
      <c r="L611" s="90"/>
    </row>
    <row r="612" ht="15.75" customHeight="1">
      <c r="L612" s="90"/>
    </row>
    <row r="613" ht="15.75" customHeight="1">
      <c r="L613" s="90"/>
    </row>
    <row r="614" ht="15.75" customHeight="1">
      <c r="L614" s="90"/>
    </row>
    <row r="615" ht="15.75" customHeight="1">
      <c r="L615" s="90"/>
    </row>
    <row r="616" ht="15.75" customHeight="1">
      <c r="L616" s="90"/>
    </row>
    <row r="617" ht="15.75" customHeight="1">
      <c r="L617" s="90"/>
    </row>
    <row r="618" ht="15.75" customHeight="1">
      <c r="L618" s="90"/>
    </row>
    <row r="619" ht="15.75" customHeight="1">
      <c r="L619" s="90"/>
    </row>
    <row r="620" ht="15.75" customHeight="1">
      <c r="L620" s="90"/>
    </row>
    <row r="621" ht="15.75" customHeight="1">
      <c r="L621" s="90"/>
    </row>
    <row r="622" ht="15.75" customHeight="1">
      <c r="L622" s="90"/>
    </row>
    <row r="623" ht="15.75" customHeight="1">
      <c r="L623" s="90"/>
    </row>
    <row r="624" ht="15.75" customHeight="1">
      <c r="L624" s="90"/>
    </row>
    <row r="625" ht="15.75" customHeight="1">
      <c r="L625" s="90"/>
    </row>
    <row r="626" ht="15.75" customHeight="1">
      <c r="L626" s="90"/>
    </row>
    <row r="627" ht="15.75" customHeight="1">
      <c r="L627" s="90"/>
    </row>
    <row r="628" ht="15.75" customHeight="1">
      <c r="L628" s="90"/>
    </row>
    <row r="629" ht="15.75" customHeight="1">
      <c r="L629" s="90"/>
    </row>
    <row r="630" ht="15.75" customHeight="1">
      <c r="L630" s="90"/>
    </row>
    <row r="631" ht="15.75" customHeight="1">
      <c r="L631" s="90"/>
    </row>
    <row r="632" ht="15.75" customHeight="1">
      <c r="L632" s="90"/>
    </row>
    <row r="633" ht="15.75" customHeight="1">
      <c r="L633" s="90"/>
    </row>
    <row r="634" ht="15.75" customHeight="1">
      <c r="L634" s="90"/>
    </row>
    <row r="635" ht="15.75" customHeight="1">
      <c r="L635" s="90"/>
    </row>
    <row r="636" ht="15.75" customHeight="1">
      <c r="L636" s="90"/>
    </row>
    <row r="637" ht="15.75" customHeight="1">
      <c r="L637" s="90"/>
    </row>
    <row r="638" ht="15.75" customHeight="1">
      <c r="L638" s="90"/>
    </row>
    <row r="639" ht="15.75" customHeight="1">
      <c r="L639" s="90"/>
    </row>
    <row r="640" ht="15.75" customHeight="1">
      <c r="L640" s="90"/>
    </row>
    <row r="641" ht="15.75" customHeight="1">
      <c r="L641" s="90"/>
    </row>
    <row r="642" ht="15.75" customHeight="1">
      <c r="L642" s="90"/>
    </row>
    <row r="643" ht="15.75" customHeight="1">
      <c r="L643" s="90"/>
    </row>
    <row r="644" ht="15.75" customHeight="1">
      <c r="L644" s="90"/>
    </row>
    <row r="645" ht="15.75" customHeight="1">
      <c r="L645" s="90"/>
    </row>
    <row r="646" ht="15.75" customHeight="1">
      <c r="L646" s="90"/>
    </row>
    <row r="647" ht="15.75" customHeight="1">
      <c r="L647" s="90"/>
    </row>
    <row r="648" ht="15.75" customHeight="1">
      <c r="L648" s="90"/>
    </row>
    <row r="649" ht="15.75" customHeight="1">
      <c r="L649" s="90"/>
    </row>
    <row r="650" ht="15.75" customHeight="1">
      <c r="L650" s="90"/>
    </row>
    <row r="651" ht="15.75" customHeight="1">
      <c r="L651" s="90"/>
    </row>
    <row r="652" ht="15.75" customHeight="1">
      <c r="L652" s="90"/>
    </row>
    <row r="653" ht="15.75" customHeight="1">
      <c r="L653" s="90"/>
    </row>
    <row r="654" ht="15.75" customHeight="1">
      <c r="L654" s="90"/>
    </row>
    <row r="655" ht="15.75" customHeight="1">
      <c r="L655" s="90"/>
    </row>
    <row r="656" ht="15.75" customHeight="1">
      <c r="L656" s="90"/>
    </row>
    <row r="657" ht="15.75" customHeight="1">
      <c r="L657" s="90"/>
    </row>
    <row r="658" ht="15.75" customHeight="1">
      <c r="L658" s="90"/>
    </row>
    <row r="659" ht="15.75" customHeight="1">
      <c r="L659" s="90"/>
    </row>
    <row r="660" ht="15.75" customHeight="1">
      <c r="L660" s="90"/>
    </row>
    <row r="661" ht="15.75" customHeight="1">
      <c r="L661" s="90"/>
    </row>
    <row r="662" ht="15.75" customHeight="1">
      <c r="L662" s="90"/>
    </row>
    <row r="663" ht="15.75" customHeight="1">
      <c r="L663" s="90"/>
    </row>
    <row r="664" ht="15.75" customHeight="1">
      <c r="L664" s="90"/>
    </row>
    <row r="665" ht="15.75" customHeight="1">
      <c r="L665" s="90"/>
    </row>
    <row r="666" ht="15.75" customHeight="1">
      <c r="L666" s="90"/>
    </row>
    <row r="667" ht="15.75" customHeight="1">
      <c r="L667" s="90"/>
    </row>
    <row r="668" ht="15.75" customHeight="1">
      <c r="L668" s="90"/>
    </row>
    <row r="669" ht="15.75" customHeight="1">
      <c r="L669" s="90"/>
    </row>
    <row r="670" ht="15.75" customHeight="1">
      <c r="L670" s="90"/>
    </row>
    <row r="671" ht="15.75" customHeight="1">
      <c r="L671" s="90"/>
    </row>
    <row r="672" ht="15.75" customHeight="1">
      <c r="L672" s="90"/>
    </row>
    <row r="673" ht="15.75" customHeight="1">
      <c r="L673" s="90"/>
    </row>
    <row r="674" ht="15.75" customHeight="1">
      <c r="L674" s="90"/>
    </row>
    <row r="675" ht="15.75" customHeight="1">
      <c r="L675" s="90"/>
    </row>
    <row r="676" ht="15.75" customHeight="1">
      <c r="L676" s="90"/>
    </row>
    <row r="677" ht="15.75" customHeight="1">
      <c r="L677" s="90"/>
    </row>
    <row r="678" ht="15.75" customHeight="1">
      <c r="L678" s="90"/>
    </row>
    <row r="679" ht="15.75" customHeight="1">
      <c r="L679" s="90"/>
    </row>
    <row r="680" ht="15.75" customHeight="1">
      <c r="L680" s="90"/>
    </row>
    <row r="681" ht="15.75" customHeight="1">
      <c r="L681" s="90"/>
    </row>
    <row r="682" ht="15.75" customHeight="1">
      <c r="L682" s="90"/>
    </row>
    <row r="683" ht="15.75" customHeight="1">
      <c r="L683" s="90"/>
    </row>
    <row r="684" ht="15.75" customHeight="1">
      <c r="L684" s="90"/>
    </row>
    <row r="685" ht="15.75" customHeight="1">
      <c r="L685" s="90"/>
    </row>
    <row r="686" ht="15.75" customHeight="1">
      <c r="L686" s="90"/>
    </row>
    <row r="687" ht="15.75" customHeight="1">
      <c r="L687" s="90"/>
    </row>
    <row r="688" ht="15.75" customHeight="1">
      <c r="L688" s="90"/>
    </row>
    <row r="689" ht="15.75" customHeight="1">
      <c r="L689" s="90"/>
    </row>
    <row r="690" ht="15.75" customHeight="1">
      <c r="L690" s="90"/>
    </row>
    <row r="691" ht="15.75" customHeight="1">
      <c r="L691" s="90"/>
    </row>
    <row r="692" ht="15.75" customHeight="1">
      <c r="L692" s="90"/>
    </row>
    <row r="693" ht="15.75" customHeight="1">
      <c r="L693" s="90"/>
    </row>
    <row r="694" ht="15.75" customHeight="1">
      <c r="L694" s="90"/>
    </row>
    <row r="695" ht="15.75" customHeight="1">
      <c r="L695" s="90"/>
    </row>
    <row r="696" ht="15.75" customHeight="1">
      <c r="L696" s="90"/>
    </row>
    <row r="697" ht="15.75" customHeight="1">
      <c r="L697" s="90"/>
    </row>
    <row r="698" ht="15.75" customHeight="1">
      <c r="L698" s="90"/>
    </row>
    <row r="699" ht="15.75" customHeight="1">
      <c r="L699" s="90"/>
    </row>
    <row r="700" ht="15.75" customHeight="1">
      <c r="L700" s="90"/>
    </row>
    <row r="701" ht="15.75" customHeight="1">
      <c r="L701" s="90"/>
    </row>
    <row r="702" ht="15.75" customHeight="1">
      <c r="L702" s="90"/>
    </row>
    <row r="703" ht="15.75" customHeight="1">
      <c r="L703" s="90"/>
    </row>
    <row r="704" ht="15.75" customHeight="1">
      <c r="L704" s="90"/>
    </row>
    <row r="705" ht="15.75" customHeight="1">
      <c r="L705" s="90"/>
    </row>
    <row r="706" ht="15.75" customHeight="1">
      <c r="L706" s="90"/>
    </row>
    <row r="707" ht="15.75" customHeight="1">
      <c r="L707" s="90"/>
    </row>
    <row r="708" ht="15.75" customHeight="1">
      <c r="L708" s="90"/>
    </row>
    <row r="709" ht="15.75" customHeight="1">
      <c r="L709" s="90"/>
    </row>
    <row r="710" ht="15.75" customHeight="1">
      <c r="L710" s="90"/>
    </row>
    <row r="711" ht="15.75" customHeight="1">
      <c r="L711" s="90"/>
    </row>
    <row r="712" ht="15.75" customHeight="1">
      <c r="L712" s="90"/>
    </row>
    <row r="713" ht="15.75" customHeight="1">
      <c r="L713" s="90"/>
    </row>
    <row r="714" ht="15.75" customHeight="1">
      <c r="L714" s="90"/>
    </row>
    <row r="715" ht="15.75" customHeight="1">
      <c r="L715" s="90"/>
    </row>
    <row r="716" ht="15.75" customHeight="1">
      <c r="L716" s="90"/>
    </row>
    <row r="717" ht="15.75" customHeight="1">
      <c r="L717" s="90"/>
    </row>
    <row r="718" ht="15.75" customHeight="1">
      <c r="L718" s="90"/>
    </row>
    <row r="719" ht="15.75" customHeight="1">
      <c r="L719" s="90"/>
    </row>
    <row r="720" ht="15.75" customHeight="1">
      <c r="L720" s="90"/>
    </row>
    <row r="721" ht="15.75" customHeight="1">
      <c r="L721" s="90"/>
    </row>
    <row r="722" ht="15.75" customHeight="1">
      <c r="L722" s="90"/>
    </row>
    <row r="723" ht="15.75" customHeight="1">
      <c r="L723" s="90"/>
    </row>
    <row r="724" ht="15.75" customHeight="1">
      <c r="L724" s="90"/>
    </row>
    <row r="725" ht="15.75" customHeight="1">
      <c r="L725" s="90"/>
    </row>
    <row r="726" ht="15.75" customHeight="1">
      <c r="L726" s="90"/>
    </row>
    <row r="727" ht="15.75" customHeight="1">
      <c r="L727" s="90"/>
    </row>
    <row r="728" ht="15.75" customHeight="1">
      <c r="L728" s="90"/>
    </row>
    <row r="729" ht="15.75" customHeight="1">
      <c r="L729" s="90"/>
    </row>
    <row r="730" ht="15.75" customHeight="1">
      <c r="L730" s="90"/>
    </row>
    <row r="731" ht="15.75" customHeight="1">
      <c r="L731" s="90"/>
    </row>
    <row r="732" ht="15.75" customHeight="1">
      <c r="L732" s="90"/>
    </row>
    <row r="733" ht="15.75" customHeight="1">
      <c r="L733" s="90"/>
    </row>
    <row r="734" ht="15.75" customHeight="1">
      <c r="L734" s="90"/>
    </row>
    <row r="735" ht="15.75" customHeight="1">
      <c r="L735" s="90"/>
    </row>
    <row r="736" ht="15.75" customHeight="1">
      <c r="L736" s="90"/>
    </row>
    <row r="737" ht="15.75" customHeight="1">
      <c r="L737" s="90"/>
    </row>
    <row r="738" ht="15.75" customHeight="1">
      <c r="L738" s="90"/>
    </row>
    <row r="739" ht="15.75" customHeight="1">
      <c r="L739" s="90"/>
    </row>
    <row r="740" ht="15.75" customHeight="1">
      <c r="L740" s="90"/>
    </row>
    <row r="741" ht="15.75" customHeight="1">
      <c r="L741" s="90"/>
    </row>
    <row r="742" ht="15.75" customHeight="1">
      <c r="L742" s="90"/>
    </row>
    <row r="743" ht="15.75" customHeight="1">
      <c r="L743" s="90"/>
    </row>
    <row r="744" ht="15.75" customHeight="1">
      <c r="L744" s="90"/>
    </row>
    <row r="745" ht="15.75" customHeight="1">
      <c r="L745" s="90"/>
    </row>
    <row r="746" ht="15.75" customHeight="1">
      <c r="L746" s="90"/>
    </row>
    <row r="747" ht="15.75" customHeight="1">
      <c r="L747" s="90"/>
    </row>
    <row r="748" ht="15.75" customHeight="1">
      <c r="L748" s="90"/>
    </row>
    <row r="749" ht="15.75" customHeight="1">
      <c r="L749" s="90"/>
    </row>
    <row r="750" ht="15.75" customHeight="1">
      <c r="L750" s="90"/>
    </row>
    <row r="751" ht="15.75" customHeight="1">
      <c r="L751" s="90"/>
    </row>
    <row r="752" ht="15.75" customHeight="1">
      <c r="L752" s="90"/>
    </row>
    <row r="753" ht="15.75" customHeight="1">
      <c r="L753" s="90"/>
    </row>
    <row r="754" ht="15.75" customHeight="1">
      <c r="L754" s="90"/>
    </row>
    <row r="755" ht="15.75" customHeight="1">
      <c r="L755" s="90"/>
    </row>
    <row r="756" ht="15.75" customHeight="1">
      <c r="L756" s="90"/>
    </row>
    <row r="757" ht="15.75" customHeight="1">
      <c r="L757" s="90"/>
    </row>
    <row r="758" ht="15.75" customHeight="1">
      <c r="L758" s="90"/>
    </row>
    <row r="759" ht="15.75" customHeight="1">
      <c r="L759" s="90"/>
    </row>
    <row r="760" ht="15.75" customHeight="1">
      <c r="L760" s="90"/>
    </row>
    <row r="761" ht="15.75" customHeight="1">
      <c r="L761" s="90"/>
    </row>
    <row r="762" ht="15.75" customHeight="1">
      <c r="L762" s="90"/>
    </row>
    <row r="763" ht="15.75" customHeight="1">
      <c r="L763" s="90"/>
    </row>
    <row r="764" ht="15.75" customHeight="1">
      <c r="L764" s="90"/>
    </row>
    <row r="765" ht="15.75" customHeight="1">
      <c r="L765" s="90"/>
    </row>
    <row r="766" ht="15.75" customHeight="1">
      <c r="L766" s="90"/>
    </row>
    <row r="767" ht="15.75" customHeight="1">
      <c r="L767" s="90"/>
    </row>
    <row r="768" ht="15.75" customHeight="1">
      <c r="L768" s="90"/>
    </row>
    <row r="769" ht="15.75" customHeight="1">
      <c r="L769" s="90"/>
    </row>
    <row r="770" ht="15.75" customHeight="1">
      <c r="L770" s="90"/>
    </row>
    <row r="771" ht="15.75" customHeight="1">
      <c r="L771" s="90"/>
    </row>
    <row r="772" ht="15.75" customHeight="1">
      <c r="L772" s="90"/>
    </row>
    <row r="773" ht="15.75" customHeight="1">
      <c r="L773" s="90"/>
    </row>
    <row r="774" ht="15.75" customHeight="1">
      <c r="L774" s="90"/>
    </row>
    <row r="775" ht="15.75" customHeight="1">
      <c r="L775" s="90"/>
    </row>
    <row r="776" ht="15.75" customHeight="1">
      <c r="L776" s="90"/>
    </row>
    <row r="777" ht="15.75" customHeight="1">
      <c r="L777" s="90"/>
    </row>
    <row r="778" ht="15.75" customHeight="1">
      <c r="L778" s="90"/>
    </row>
    <row r="779" ht="15.75" customHeight="1">
      <c r="L779" s="90"/>
    </row>
    <row r="780" ht="15.75" customHeight="1">
      <c r="L780" s="90"/>
    </row>
    <row r="781" ht="15.75" customHeight="1">
      <c r="L781" s="90"/>
    </row>
    <row r="782" ht="15.75" customHeight="1">
      <c r="L782" s="90"/>
    </row>
    <row r="783" ht="15.75" customHeight="1">
      <c r="L783" s="90"/>
    </row>
    <row r="784" ht="15.75" customHeight="1">
      <c r="L784" s="90"/>
    </row>
    <row r="785" ht="15.75" customHeight="1">
      <c r="L785" s="90"/>
    </row>
    <row r="786" ht="15.75" customHeight="1">
      <c r="L786" s="90"/>
    </row>
    <row r="787" ht="15.75" customHeight="1">
      <c r="L787" s="90"/>
    </row>
    <row r="788" ht="15.75" customHeight="1">
      <c r="L788" s="90"/>
    </row>
    <row r="789" ht="15.75" customHeight="1">
      <c r="L789" s="90"/>
    </row>
    <row r="790" ht="15.75" customHeight="1">
      <c r="L790" s="90"/>
    </row>
    <row r="791" ht="15.75" customHeight="1">
      <c r="L791" s="90"/>
    </row>
    <row r="792" ht="15.75" customHeight="1">
      <c r="L792" s="90"/>
    </row>
    <row r="793" ht="15.75" customHeight="1">
      <c r="L793" s="90"/>
    </row>
    <row r="794" ht="15.75" customHeight="1">
      <c r="L794" s="90"/>
    </row>
    <row r="795" ht="15.75" customHeight="1">
      <c r="L795" s="90"/>
    </row>
    <row r="796" ht="15.75" customHeight="1">
      <c r="L796" s="90"/>
    </row>
    <row r="797" ht="15.75" customHeight="1">
      <c r="L797" s="90"/>
    </row>
    <row r="798" ht="15.75" customHeight="1">
      <c r="L798" s="90"/>
    </row>
    <row r="799" ht="15.75" customHeight="1">
      <c r="L799" s="90"/>
    </row>
    <row r="800" ht="15.75" customHeight="1">
      <c r="L800" s="90"/>
    </row>
    <row r="801" ht="15.75" customHeight="1">
      <c r="L801" s="90"/>
    </row>
    <row r="802" ht="15.75" customHeight="1">
      <c r="L802" s="90"/>
    </row>
    <row r="803" ht="15.75" customHeight="1">
      <c r="L803" s="90"/>
    </row>
    <row r="804" ht="15.75" customHeight="1">
      <c r="L804" s="90"/>
    </row>
    <row r="805" ht="15.75" customHeight="1">
      <c r="L805" s="90"/>
    </row>
    <row r="806" ht="15.75" customHeight="1">
      <c r="L806" s="90"/>
    </row>
    <row r="807" ht="15.75" customHeight="1">
      <c r="L807" s="90"/>
    </row>
    <row r="808" ht="15.75" customHeight="1">
      <c r="L808" s="90"/>
    </row>
    <row r="809" ht="15.75" customHeight="1">
      <c r="L809" s="90"/>
    </row>
    <row r="810" ht="15.75" customHeight="1">
      <c r="L810" s="90"/>
    </row>
    <row r="811" ht="15.75" customHeight="1">
      <c r="L811" s="90"/>
    </row>
    <row r="812" ht="15.75" customHeight="1">
      <c r="L812" s="90"/>
    </row>
    <row r="813" ht="15.75" customHeight="1">
      <c r="L813" s="90"/>
    </row>
    <row r="814" ht="15.75" customHeight="1">
      <c r="L814" s="90"/>
    </row>
    <row r="815" ht="15.75" customHeight="1">
      <c r="L815" s="90"/>
    </row>
    <row r="816" ht="15.75" customHeight="1">
      <c r="L816" s="90"/>
    </row>
    <row r="817" ht="15.75" customHeight="1">
      <c r="L817" s="90"/>
    </row>
    <row r="818" ht="15.75" customHeight="1">
      <c r="L818" s="90"/>
    </row>
    <row r="819" ht="15.75" customHeight="1">
      <c r="L819" s="90"/>
    </row>
    <row r="820" ht="15.75" customHeight="1">
      <c r="L820" s="90"/>
    </row>
    <row r="821" ht="15.75" customHeight="1">
      <c r="L821" s="90"/>
    </row>
    <row r="822" ht="15.75" customHeight="1">
      <c r="L822" s="90"/>
    </row>
    <row r="823" ht="15.75" customHeight="1">
      <c r="L823" s="90"/>
    </row>
    <row r="824" ht="15.75" customHeight="1">
      <c r="L824" s="90"/>
    </row>
    <row r="825" ht="15.75" customHeight="1">
      <c r="L825" s="90"/>
    </row>
    <row r="826" ht="15.75" customHeight="1">
      <c r="L826" s="90"/>
    </row>
    <row r="827" ht="15.75" customHeight="1">
      <c r="L827" s="90"/>
    </row>
    <row r="828" ht="15.75" customHeight="1">
      <c r="L828" s="90"/>
    </row>
    <row r="829" ht="15.75" customHeight="1">
      <c r="L829" s="90"/>
    </row>
    <row r="830" ht="15.75" customHeight="1">
      <c r="L830" s="90"/>
    </row>
    <row r="831" ht="15.75" customHeight="1">
      <c r="L831" s="90"/>
    </row>
    <row r="832" ht="15.75" customHeight="1">
      <c r="L832" s="90"/>
    </row>
    <row r="833" ht="15.75" customHeight="1">
      <c r="L833" s="90"/>
    </row>
    <row r="834" ht="15.75" customHeight="1">
      <c r="L834" s="90"/>
    </row>
    <row r="835" ht="15.75" customHeight="1">
      <c r="L835" s="90"/>
    </row>
    <row r="836" ht="15.75" customHeight="1">
      <c r="L836" s="90"/>
    </row>
    <row r="837" ht="15.75" customHeight="1">
      <c r="L837" s="90"/>
    </row>
    <row r="838" ht="15.75" customHeight="1">
      <c r="L838" s="90"/>
    </row>
    <row r="839" ht="15.75" customHeight="1">
      <c r="L839" s="90"/>
    </row>
    <row r="840" ht="15.75" customHeight="1">
      <c r="L840" s="90"/>
    </row>
    <row r="841" ht="15.75" customHeight="1">
      <c r="L841" s="90"/>
    </row>
    <row r="842" ht="15.75" customHeight="1">
      <c r="L842" s="90"/>
    </row>
    <row r="843" ht="15.75" customHeight="1">
      <c r="L843" s="90"/>
    </row>
    <row r="844" ht="15.75" customHeight="1">
      <c r="L844" s="90"/>
    </row>
    <row r="845" ht="15.75" customHeight="1">
      <c r="L845" s="90"/>
    </row>
    <row r="846" ht="15.75" customHeight="1">
      <c r="L846" s="90"/>
    </row>
    <row r="847" ht="15.75" customHeight="1">
      <c r="L847" s="90"/>
    </row>
    <row r="848" ht="15.75" customHeight="1">
      <c r="L848" s="90"/>
    </row>
    <row r="849" ht="15.75" customHeight="1">
      <c r="L849" s="90"/>
    </row>
    <row r="850" ht="15.75" customHeight="1">
      <c r="L850" s="90"/>
    </row>
    <row r="851" ht="15.75" customHeight="1">
      <c r="L851" s="90"/>
    </row>
    <row r="852" ht="15.75" customHeight="1">
      <c r="L852" s="90"/>
    </row>
    <row r="853" ht="15.75" customHeight="1">
      <c r="L853" s="90"/>
    </row>
    <row r="854" ht="15.75" customHeight="1">
      <c r="L854" s="90"/>
    </row>
    <row r="855" ht="15.75" customHeight="1">
      <c r="L855" s="90"/>
    </row>
    <row r="856" ht="15.75" customHeight="1">
      <c r="L856" s="90"/>
    </row>
    <row r="857" ht="15.75" customHeight="1">
      <c r="L857" s="90"/>
    </row>
    <row r="858" ht="15.75" customHeight="1">
      <c r="L858" s="90"/>
    </row>
    <row r="859" ht="15.75" customHeight="1">
      <c r="L859" s="90"/>
    </row>
    <row r="860" ht="15.75" customHeight="1">
      <c r="L860" s="90"/>
    </row>
    <row r="861" ht="15.75" customHeight="1">
      <c r="L861" s="90"/>
    </row>
    <row r="862" ht="15.75" customHeight="1">
      <c r="L862" s="90"/>
    </row>
    <row r="863" ht="15.75" customHeight="1">
      <c r="L863" s="90"/>
    </row>
    <row r="864" ht="15.75" customHeight="1">
      <c r="L864" s="90"/>
    </row>
    <row r="865" ht="15.75" customHeight="1">
      <c r="L865" s="90"/>
    </row>
    <row r="866" ht="15.75" customHeight="1">
      <c r="L866" s="90"/>
    </row>
    <row r="867" ht="15.75" customHeight="1">
      <c r="L867" s="90"/>
    </row>
    <row r="868" ht="15.75" customHeight="1">
      <c r="L868" s="90"/>
    </row>
    <row r="869" ht="15.75" customHeight="1">
      <c r="L869" s="90"/>
    </row>
    <row r="870" ht="15.75" customHeight="1">
      <c r="L870" s="90"/>
    </row>
    <row r="871" ht="15.75" customHeight="1">
      <c r="L871" s="90"/>
    </row>
    <row r="872" ht="15.75" customHeight="1">
      <c r="L872" s="90"/>
    </row>
    <row r="873" ht="15.75" customHeight="1">
      <c r="L873" s="90"/>
    </row>
    <row r="874" ht="15.75" customHeight="1">
      <c r="L874" s="90"/>
    </row>
    <row r="875" ht="15.75" customHeight="1">
      <c r="L875" s="90"/>
    </row>
    <row r="876" ht="15.75" customHeight="1">
      <c r="L876" s="90"/>
    </row>
    <row r="877" ht="15.75" customHeight="1">
      <c r="L877" s="90"/>
    </row>
    <row r="878" ht="15.75" customHeight="1">
      <c r="L878" s="90"/>
    </row>
    <row r="879" ht="15.75" customHeight="1">
      <c r="L879" s="90"/>
    </row>
    <row r="880" ht="15.75" customHeight="1">
      <c r="L880" s="90"/>
    </row>
    <row r="881" ht="15.75" customHeight="1">
      <c r="L881" s="90"/>
    </row>
    <row r="882" ht="15.75" customHeight="1">
      <c r="L882" s="90"/>
    </row>
    <row r="883" ht="15.75" customHeight="1">
      <c r="L883" s="90"/>
    </row>
    <row r="884" ht="15.75" customHeight="1">
      <c r="L884" s="90"/>
    </row>
    <row r="885" ht="15.75" customHeight="1">
      <c r="L885" s="90"/>
    </row>
    <row r="886" ht="15.75" customHeight="1">
      <c r="L886" s="90"/>
    </row>
    <row r="887" ht="15.75" customHeight="1">
      <c r="L887" s="90"/>
    </row>
    <row r="888" ht="15.75" customHeight="1">
      <c r="L888" s="90"/>
    </row>
    <row r="889" ht="15.75" customHeight="1">
      <c r="L889" s="90"/>
    </row>
    <row r="890" ht="15.75" customHeight="1">
      <c r="L890" s="90"/>
    </row>
    <row r="891" ht="15.75" customHeight="1">
      <c r="L891" s="90"/>
    </row>
    <row r="892" ht="15.75" customHeight="1">
      <c r="L892" s="90"/>
    </row>
    <row r="893" ht="15.75" customHeight="1">
      <c r="L893" s="90"/>
    </row>
    <row r="894" ht="15.75" customHeight="1">
      <c r="L894" s="90"/>
    </row>
    <row r="895" ht="15.75" customHeight="1">
      <c r="L895" s="90"/>
    </row>
    <row r="896" ht="15.75" customHeight="1">
      <c r="L896" s="90"/>
    </row>
    <row r="897" ht="15.75" customHeight="1">
      <c r="L897" s="90"/>
    </row>
    <row r="898" ht="15.75" customHeight="1">
      <c r="L898" s="90"/>
    </row>
    <row r="899" ht="15.75" customHeight="1">
      <c r="L899" s="90"/>
    </row>
    <row r="900" ht="15.75" customHeight="1">
      <c r="L900" s="90"/>
    </row>
    <row r="901" ht="15.75" customHeight="1">
      <c r="L901" s="90"/>
    </row>
    <row r="902" ht="15.75" customHeight="1">
      <c r="L902" s="90"/>
    </row>
    <row r="903" ht="15.75" customHeight="1">
      <c r="L903" s="90"/>
    </row>
    <row r="904" ht="15.75" customHeight="1">
      <c r="L904" s="90"/>
    </row>
    <row r="905" ht="15.75" customHeight="1">
      <c r="L905" s="90"/>
    </row>
    <row r="906" ht="15.75" customHeight="1">
      <c r="L906" s="90"/>
    </row>
    <row r="907" ht="15.75" customHeight="1">
      <c r="L907" s="90"/>
    </row>
    <row r="908" ht="15.75" customHeight="1">
      <c r="L908" s="90"/>
    </row>
    <row r="909" ht="15.75" customHeight="1">
      <c r="L909" s="90"/>
    </row>
    <row r="910" ht="15.75" customHeight="1">
      <c r="L910" s="90"/>
    </row>
    <row r="911" ht="15.75" customHeight="1">
      <c r="L911" s="90"/>
    </row>
    <row r="912" ht="15.75" customHeight="1">
      <c r="L912" s="90"/>
    </row>
    <row r="913" ht="15.75" customHeight="1">
      <c r="L913" s="90"/>
    </row>
    <row r="914" ht="15.75" customHeight="1">
      <c r="L914" s="90"/>
    </row>
    <row r="915" ht="15.75" customHeight="1">
      <c r="L915" s="90"/>
    </row>
    <row r="916" ht="15.75" customHeight="1">
      <c r="L916" s="90"/>
    </row>
    <row r="917" ht="15.75" customHeight="1">
      <c r="L917" s="90"/>
    </row>
    <row r="918" ht="15.75" customHeight="1">
      <c r="L918" s="90"/>
    </row>
    <row r="919" ht="15.75" customHeight="1">
      <c r="L919" s="90"/>
    </row>
    <row r="920" ht="15.75" customHeight="1">
      <c r="L920" s="90"/>
    </row>
    <row r="921" ht="15.75" customHeight="1">
      <c r="L921" s="90"/>
    </row>
    <row r="922" ht="15.75" customHeight="1">
      <c r="L922" s="90"/>
    </row>
    <row r="923" ht="15.75" customHeight="1">
      <c r="L923" s="90"/>
    </row>
    <row r="924" ht="15.75" customHeight="1">
      <c r="L924" s="90"/>
    </row>
    <row r="925" ht="15.75" customHeight="1">
      <c r="L925" s="90"/>
    </row>
    <row r="926" ht="15.75" customHeight="1">
      <c r="L926" s="90"/>
    </row>
    <row r="927" ht="15.75" customHeight="1">
      <c r="L927" s="90"/>
    </row>
    <row r="928" ht="15.75" customHeight="1">
      <c r="L928" s="90"/>
    </row>
    <row r="929" ht="15.75" customHeight="1">
      <c r="L929" s="90"/>
    </row>
    <row r="930" ht="15.75" customHeight="1">
      <c r="L930" s="90"/>
    </row>
    <row r="931" ht="15.75" customHeight="1">
      <c r="L931" s="90"/>
    </row>
    <row r="932" ht="15.75" customHeight="1">
      <c r="L932" s="90"/>
    </row>
    <row r="933" ht="15.75" customHeight="1">
      <c r="L933" s="90"/>
    </row>
    <row r="934" ht="15.75" customHeight="1">
      <c r="L934" s="90"/>
    </row>
    <row r="935" ht="15.75" customHeight="1">
      <c r="L935" s="90"/>
    </row>
    <row r="936" ht="15.75" customHeight="1">
      <c r="L936" s="90"/>
    </row>
    <row r="937" ht="15.75" customHeight="1">
      <c r="L937" s="90"/>
    </row>
    <row r="938" ht="15.75" customHeight="1">
      <c r="L938" s="90"/>
    </row>
    <row r="939" ht="15.75" customHeight="1">
      <c r="L939" s="90"/>
    </row>
    <row r="940" ht="15.75" customHeight="1">
      <c r="L940" s="90"/>
    </row>
    <row r="941" ht="15.75" customHeight="1">
      <c r="L941" s="90"/>
    </row>
    <row r="942" ht="15.75" customHeight="1">
      <c r="L942" s="90"/>
    </row>
    <row r="943" ht="15.75" customHeight="1">
      <c r="L943" s="90"/>
    </row>
    <row r="944" ht="15.75" customHeight="1">
      <c r="L944" s="90"/>
    </row>
    <row r="945" ht="15.75" customHeight="1">
      <c r="L945" s="90"/>
    </row>
    <row r="946" ht="15.75" customHeight="1">
      <c r="L946" s="90"/>
    </row>
    <row r="947" ht="15.75" customHeight="1">
      <c r="L947" s="90"/>
    </row>
    <row r="948" ht="15.75" customHeight="1">
      <c r="L948" s="90"/>
    </row>
    <row r="949" ht="15.75" customHeight="1">
      <c r="L949" s="90"/>
    </row>
    <row r="950" ht="15.75" customHeight="1">
      <c r="L950" s="90"/>
    </row>
    <row r="951" ht="15.75" customHeight="1">
      <c r="L951" s="90"/>
    </row>
    <row r="952" ht="15.75" customHeight="1">
      <c r="L952" s="90"/>
    </row>
    <row r="953" ht="15.75" customHeight="1">
      <c r="L953" s="90"/>
    </row>
    <row r="954" ht="15.75" customHeight="1">
      <c r="L954" s="90"/>
    </row>
    <row r="955" ht="15.75" customHeight="1">
      <c r="L955" s="90"/>
    </row>
    <row r="956" ht="15.75" customHeight="1">
      <c r="L956" s="90"/>
    </row>
    <row r="957" ht="15.75" customHeight="1">
      <c r="L957" s="90"/>
    </row>
    <row r="958" ht="15.75" customHeight="1">
      <c r="L958" s="90"/>
    </row>
    <row r="959" ht="15.75" customHeight="1">
      <c r="L959" s="90"/>
    </row>
    <row r="960" ht="15.75" customHeight="1">
      <c r="L960" s="90"/>
    </row>
    <row r="961" ht="15.75" customHeight="1">
      <c r="L961" s="90"/>
    </row>
    <row r="962" ht="15.75" customHeight="1">
      <c r="L962" s="90"/>
    </row>
    <row r="963" ht="15.75" customHeight="1">
      <c r="L963" s="90"/>
    </row>
    <row r="964" ht="15.75" customHeight="1">
      <c r="L964" s="90"/>
    </row>
    <row r="965" ht="15.75" customHeight="1">
      <c r="L965" s="90"/>
    </row>
    <row r="966" ht="15.75" customHeight="1">
      <c r="L966" s="90"/>
    </row>
    <row r="967" ht="15.75" customHeight="1">
      <c r="L967" s="90"/>
    </row>
    <row r="968" ht="15.75" customHeight="1">
      <c r="L968" s="90"/>
    </row>
    <row r="969" ht="15.75" customHeight="1">
      <c r="L969" s="90"/>
    </row>
    <row r="970" ht="15.75" customHeight="1">
      <c r="L970" s="90"/>
    </row>
    <row r="971" ht="15.75" customHeight="1">
      <c r="L971" s="90"/>
    </row>
    <row r="972" ht="15.75" customHeight="1">
      <c r="L972" s="90"/>
    </row>
    <row r="973" ht="15.75" customHeight="1">
      <c r="L973" s="90"/>
    </row>
    <row r="974" ht="15.75" customHeight="1">
      <c r="L974" s="90"/>
    </row>
    <row r="975" ht="15.75" customHeight="1">
      <c r="L975" s="90"/>
    </row>
    <row r="976" ht="15.75" customHeight="1">
      <c r="L976" s="90"/>
    </row>
    <row r="977" ht="15.75" customHeight="1">
      <c r="L977" s="90"/>
    </row>
    <row r="978" ht="15.75" customHeight="1">
      <c r="L978" s="90"/>
    </row>
    <row r="979" ht="15.75" customHeight="1">
      <c r="L979" s="90"/>
    </row>
    <row r="980" ht="15.75" customHeight="1">
      <c r="L980" s="90"/>
    </row>
    <row r="981" ht="15.75" customHeight="1">
      <c r="L981" s="90"/>
    </row>
    <row r="982" ht="15.75" customHeight="1">
      <c r="L982" s="90"/>
    </row>
    <row r="983" ht="15.75" customHeight="1">
      <c r="L983" s="90"/>
    </row>
    <row r="984" ht="15.75" customHeight="1">
      <c r="L984" s="90"/>
    </row>
    <row r="985" ht="15.75" customHeight="1">
      <c r="L985" s="90"/>
    </row>
    <row r="986" ht="15.75" customHeight="1">
      <c r="L986" s="90"/>
    </row>
    <row r="987" ht="15.75" customHeight="1">
      <c r="L987" s="90"/>
    </row>
    <row r="988" ht="15.75" customHeight="1">
      <c r="L988" s="90"/>
    </row>
    <row r="989" ht="15.75" customHeight="1">
      <c r="L989" s="90"/>
    </row>
    <row r="990" ht="15.75" customHeight="1">
      <c r="L990" s="90"/>
    </row>
    <row r="991" ht="15.75" customHeight="1">
      <c r="L991" s="90"/>
    </row>
    <row r="992" ht="15.75" customHeight="1">
      <c r="L992" s="90"/>
    </row>
    <row r="993" ht="15.75" customHeight="1">
      <c r="L993" s="90"/>
    </row>
    <row r="994" ht="15.75" customHeight="1">
      <c r="L994" s="90"/>
    </row>
    <row r="995" ht="15.75" customHeight="1">
      <c r="L995" s="90"/>
    </row>
    <row r="996" ht="15.75" customHeight="1">
      <c r="L996" s="90"/>
    </row>
    <row r="997" ht="15.75" customHeight="1">
      <c r="L997" s="90"/>
    </row>
    <row r="998" ht="15.75" customHeight="1">
      <c r="L998" s="90"/>
    </row>
    <row r="999" ht="15.75" customHeight="1">
      <c r="L999" s="90"/>
    </row>
    <row r="1000" ht="15.75" customHeight="1">
      <c r="L1000" s="90"/>
    </row>
    <row r="1001" ht="15.75" customHeight="1">
      <c r="L1001" s="90"/>
    </row>
    <row r="1002" ht="15.75" customHeight="1">
      <c r="L1002" s="90"/>
    </row>
    <row r="1003" ht="15.75" customHeight="1">
      <c r="L1003" s="90"/>
    </row>
    <row r="1004" ht="15.75" customHeight="1">
      <c r="L1004" s="90"/>
    </row>
    <row r="1005" ht="15.75" customHeight="1">
      <c r="L1005" s="90"/>
    </row>
    <row r="1006" ht="15.75" customHeight="1">
      <c r="L1006" s="90"/>
    </row>
    <row r="1007" ht="15.75" customHeight="1">
      <c r="L1007" s="90"/>
    </row>
    <row r="1008" ht="15.75" customHeight="1">
      <c r="L1008" s="90"/>
    </row>
    <row r="1009" ht="15.75" customHeight="1">
      <c r="L1009" s="90"/>
    </row>
    <row r="1010" ht="15.75" customHeight="1">
      <c r="L1010" s="90"/>
    </row>
    <row r="1011" ht="15.75" customHeight="1">
      <c r="L1011" s="90"/>
    </row>
  </sheetData>
  <mergeCells count="10">
    <mergeCell ref="C210:D210"/>
    <mergeCell ref="C211:D211"/>
    <mergeCell ref="C212:D212"/>
    <mergeCell ref="A2:M2"/>
    <mergeCell ref="A3:D3"/>
    <mergeCell ref="I3:M3"/>
    <mergeCell ref="A205:D205"/>
    <mergeCell ref="C207:D207"/>
    <mergeCell ref="C208:D208"/>
    <mergeCell ref="C209:D209"/>
  </mergeCells>
  <conditionalFormatting sqref="C8">
    <cfRule type="cellIs" dxfId="0" priority="1" operator="equal">
      <formula>0</formula>
    </cfRule>
  </conditionalFormatting>
  <conditionalFormatting sqref="F8:J8">
    <cfRule type="cellIs" dxfId="0" priority="2" operator="equal">
      <formula>0</formula>
    </cfRule>
  </conditionalFormatting>
  <conditionalFormatting sqref="G211">
    <cfRule type="notContainsBlanks" dxfId="1" priority="3">
      <formula>LEN(TRIM(G211))&gt;0</formula>
    </cfRule>
  </conditionalFormatting>
  <printOptions/>
  <pageMargins bottom="0.25" footer="0.0" header="0.0" left="0.19685039370078738" right="0.19685039370078738" top="0.25"/>
  <pageSetup paperSize="9" scale="75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2024-06-27T13:28:19Z</dcterms:created>
  <dc:creator>Acer</dc:creator>
</cp:coreProperties>
</file>